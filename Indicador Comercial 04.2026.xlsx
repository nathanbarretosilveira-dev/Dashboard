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potencial1-my.sharepoint.com/personal/nathan_g_grpotencial_com_br/Documents/INDICADOR COMERCIAL/"/>
    </mc:Choice>
  </mc:AlternateContent>
  <xr:revisionPtr revIDLastSave="6217" documentId="120_S{98286E9D-967D-52C0-9D91-C82F2E2F1641}" xr6:coauthVersionLast="47" xr6:coauthVersionMax="47" xr10:uidLastSave="{0CE0A921-4D4B-43D5-9061-3304F998E2D8}"/>
  <bookViews>
    <workbookView xWindow="28680" yWindow="-120" windowWidth="29040" windowHeight="15720" xr2:uid="{00000000-000D-0000-FFFF-FFFF00000000}"/>
  </bookViews>
  <sheets>
    <sheet name="BWT" sheetId="2" r:id="rId1"/>
    <sheet name="ROTAS REALIZADAS" sheetId="19" r:id="rId2"/>
    <sheet name="Faturamento" sheetId="7" r:id="rId3"/>
    <sheet name="Telemetria Sighra" sheetId="1" r:id="rId4"/>
    <sheet name="Rotas" sheetId="5" r:id="rId5"/>
    <sheet name="Resumo Meta" sheetId="10" r:id="rId6"/>
  </sheets>
  <definedNames>
    <definedName name="_xlnm._FilterDatabase" localSheetId="0" hidden="1">BWT!#REF!</definedName>
    <definedName name="_xlnm._FilterDatabase" localSheetId="2" hidden="1">Faturamento!$A$1:$AA$233</definedName>
    <definedName name="_xlnm._FilterDatabase" localSheetId="4" hidden="1">Rotas!$A$1:$H$279</definedName>
    <definedName name="_xlnm._FilterDatabase" localSheetId="3" hidden="1">'Telemetria Sighra'!$A$1:$S$133</definedName>
  </definedNames>
  <calcPr calcId="191028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0" l="1"/>
  <c r="B6" i="10"/>
  <c r="B7" i="10"/>
  <c r="B8" i="10"/>
  <c r="B9" i="10"/>
  <c r="B10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" i="10"/>
  <c r="B2" i="10"/>
  <c r="D2" i="10" s="1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C218" i="7" a="1"/>
  <c r="AC218" i="7" s="1"/>
  <c r="AB218" i="7" s="1"/>
  <c r="AC219" i="7" a="1"/>
  <c r="AC219" i="7" s="1"/>
  <c r="AB219" i="7" s="1"/>
  <c r="AC220" i="7" a="1"/>
  <c r="AC220" i="7" s="1"/>
  <c r="AB220" i="7" s="1"/>
  <c r="AC221" i="7" a="1"/>
  <c r="AC221" i="7" s="1"/>
  <c r="AB221" i="7" s="1"/>
  <c r="AC222" i="7" a="1"/>
  <c r="AC222" i="7" s="1"/>
  <c r="AB222" i="7" s="1"/>
  <c r="AC223" i="7" a="1"/>
  <c r="AC223" i="7" s="1"/>
  <c r="AB223" i="7" s="1"/>
  <c r="AC224" i="7" a="1"/>
  <c r="AC224" i="7" s="1"/>
  <c r="AB224" i="7" s="1"/>
  <c r="AC225" i="7" a="1"/>
  <c r="AC225" i="7" s="1"/>
  <c r="AB225" i="7" s="1"/>
  <c r="AC226" i="7" a="1"/>
  <c r="AC226" i="7" s="1"/>
  <c r="AB226" i="7" s="1"/>
  <c r="AC227" i="7" a="1"/>
  <c r="AC227" i="7" s="1"/>
  <c r="AB227" i="7" s="1"/>
  <c r="AC228" i="7" a="1"/>
  <c r="AC228" i="7" s="1"/>
  <c r="AB228" i="7" s="1"/>
  <c r="AC229" i="7" a="1"/>
  <c r="AC229" i="7" s="1"/>
  <c r="AB229" i="7" s="1"/>
  <c r="AC230" i="7" a="1"/>
  <c r="AC230" i="7" s="1"/>
  <c r="AB230" i="7" s="1"/>
  <c r="AC231" i="7" a="1"/>
  <c r="AC231" i="7" s="1"/>
  <c r="AB231" i="7" s="1"/>
  <c r="AC232" i="7" a="1"/>
  <c r="AC232" i="7" s="1"/>
  <c r="AB232" i="7" s="1"/>
  <c r="AC233" i="7" a="1"/>
  <c r="AC233" i="7" s="1"/>
  <c r="AB233" i="7" s="1"/>
  <c r="Z217" i="7"/>
  <c r="AA217" i="7" s="1"/>
  <c r="AC217" i="7" a="1"/>
  <c r="AC217" i="7" s="1"/>
  <c r="AB217" i="7" s="1"/>
  <c r="Z214" i="7"/>
  <c r="Z215" i="7"/>
  <c r="Z216" i="7"/>
  <c r="AA214" i="7"/>
  <c r="AA215" i="7"/>
  <c r="AA216" i="7"/>
  <c r="AC214" i="7" a="1"/>
  <c r="AC214" i="7" s="1"/>
  <c r="AB214" i="7" s="1"/>
  <c r="AC215" i="7" a="1"/>
  <c r="AC215" i="7" s="1"/>
  <c r="AB215" i="7" s="1"/>
  <c r="AC216" i="7" a="1"/>
  <c r="AC216" i="7" s="1"/>
  <c r="AB216" i="7" s="1"/>
  <c r="Z209" i="7"/>
  <c r="Z210" i="7"/>
  <c r="Z211" i="7"/>
  <c r="Z212" i="7"/>
  <c r="Z213" i="7"/>
  <c r="AA209" i="7"/>
  <c r="AA210" i="7"/>
  <c r="AA211" i="7"/>
  <c r="AA212" i="7"/>
  <c r="AA213" i="7"/>
  <c r="AC209" i="7" a="1"/>
  <c r="AC209" i="7" s="1"/>
  <c r="AB209" i="7" s="1"/>
  <c r="AC210" i="7" a="1"/>
  <c r="AC210" i="7" s="1"/>
  <c r="AB210" i="7" s="1"/>
  <c r="AC211" i="7" a="1"/>
  <c r="AC211" i="7" s="1"/>
  <c r="AB211" i="7" s="1"/>
  <c r="AC212" i="7" a="1"/>
  <c r="AC212" i="7" s="1"/>
  <c r="AB212" i="7" s="1"/>
  <c r="AC213" i="7" a="1"/>
  <c r="AC213" i="7" s="1"/>
  <c r="AB213" i="7" s="1"/>
  <c r="AC3" i="7" a="1"/>
  <c r="AC3" i="7" s="1"/>
  <c r="AB3" i="7" s="1"/>
  <c r="AC4" i="7" a="1"/>
  <c r="AC4" i="7" s="1"/>
  <c r="AB4" i="7" s="1"/>
  <c r="AC5" i="7" a="1"/>
  <c r="AC5" i="7" s="1"/>
  <c r="AB5" i="7" s="1"/>
  <c r="AC6" i="7" a="1"/>
  <c r="AC6" i="7" s="1"/>
  <c r="AB6" i="7" s="1"/>
  <c r="AC7" i="7" a="1"/>
  <c r="AC7" i="7" s="1"/>
  <c r="AB7" i="7" s="1"/>
  <c r="AC8" i="7" a="1"/>
  <c r="AC8" i="7" s="1"/>
  <c r="AB8" i="7" s="1"/>
  <c r="AC9" i="7" a="1"/>
  <c r="AC9" i="7" s="1"/>
  <c r="AB9" i="7" s="1"/>
  <c r="AC10" i="7" a="1"/>
  <c r="AC10" i="7" s="1"/>
  <c r="AB10" i="7" s="1"/>
  <c r="AC11" i="7" a="1"/>
  <c r="AC11" i="7" s="1"/>
  <c r="AB11" i="7" s="1"/>
  <c r="AC12" i="7" a="1"/>
  <c r="AC12" i="7" s="1"/>
  <c r="AB12" i="7" s="1"/>
  <c r="AC13" i="7" a="1"/>
  <c r="AC13" i="7" s="1"/>
  <c r="AC14" i="7" a="1"/>
  <c r="AC14" i="7" s="1"/>
  <c r="AB14" i="7" s="1"/>
  <c r="AC15" i="7" a="1"/>
  <c r="AC15" i="7" s="1"/>
  <c r="AB15" i="7" s="1"/>
  <c r="AC16" i="7" a="1"/>
  <c r="AC16" i="7" s="1"/>
  <c r="AB16" i="7" s="1"/>
  <c r="AC17" i="7" a="1"/>
  <c r="AC17" i="7" s="1"/>
  <c r="AB17" i="7" s="1"/>
  <c r="AC18" i="7" a="1"/>
  <c r="AC18" i="7" s="1"/>
  <c r="AB18" i="7" s="1"/>
  <c r="AC19" i="7" a="1"/>
  <c r="AC19" i="7" s="1"/>
  <c r="AB19" i="7" s="1"/>
  <c r="AC20" i="7" a="1"/>
  <c r="AC20" i="7" s="1"/>
  <c r="AB20" i="7" s="1"/>
  <c r="AC21" i="7" a="1"/>
  <c r="AC21" i="7" s="1"/>
  <c r="AB21" i="7" s="1"/>
  <c r="AC22" i="7" a="1"/>
  <c r="AC22" i="7" s="1"/>
  <c r="AB22" i="7" s="1"/>
  <c r="AC23" i="7" a="1"/>
  <c r="AC23" i="7" s="1"/>
  <c r="AB23" i="7" s="1"/>
  <c r="AC24" i="7" a="1"/>
  <c r="AC24" i="7" s="1"/>
  <c r="AB24" i="7" s="1"/>
  <c r="AC25" i="7" a="1"/>
  <c r="AC25" i="7" s="1"/>
  <c r="AB25" i="7" s="1"/>
  <c r="AC26" i="7" a="1"/>
  <c r="AC26" i="7" s="1"/>
  <c r="AB26" i="7" s="1"/>
  <c r="AC27" i="7" a="1"/>
  <c r="AC27" i="7" s="1"/>
  <c r="AB27" i="7" s="1"/>
  <c r="AC28" i="7" a="1"/>
  <c r="AC28" i="7" s="1"/>
  <c r="AB28" i="7" s="1"/>
  <c r="AC29" i="7" a="1"/>
  <c r="AC29" i="7" s="1"/>
  <c r="AB29" i="7" s="1"/>
  <c r="AC30" i="7" a="1"/>
  <c r="AC30" i="7" s="1"/>
  <c r="AB30" i="7" s="1"/>
  <c r="AC31" i="7" a="1"/>
  <c r="AC31" i="7" s="1"/>
  <c r="AB31" i="7" s="1"/>
  <c r="AC32" i="7" a="1"/>
  <c r="AC32" i="7" s="1"/>
  <c r="AB32" i="7" s="1"/>
  <c r="AC33" i="7" a="1"/>
  <c r="AC33" i="7" s="1"/>
  <c r="AB33" i="7" s="1"/>
  <c r="AC34" i="7" a="1"/>
  <c r="AC34" i="7" s="1"/>
  <c r="AB34" i="7" s="1"/>
  <c r="AC35" i="7" a="1"/>
  <c r="AC35" i="7" s="1"/>
  <c r="AB35" i="7" s="1"/>
  <c r="AC36" i="7" a="1"/>
  <c r="AC36" i="7" s="1"/>
  <c r="AB36" i="7" s="1"/>
  <c r="AC37" i="7" a="1"/>
  <c r="AC37" i="7" s="1"/>
  <c r="AB37" i="7" s="1"/>
  <c r="AC38" i="7" a="1"/>
  <c r="AC38" i="7" s="1"/>
  <c r="AB38" i="7" s="1"/>
  <c r="AC39" i="7" a="1"/>
  <c r="AC39" i="7" s="1"/>
  <c r="AB39" i="7" s="1"/>
  <c r="AC40" i="7" a="1"/>
  <c r="AC40" i="7" s="1"/>
  <c r="AB40" i="7" s="1"/>
  <c r="AC41" i="7" a="1"/>
  <c r="AC41" i="7" s="1"/>
  <c r="AB41" i="7" s="1"/>
  <c r="AC42" i="7" a="1"/>
  <c r="AC42" i="7" s="1"/>
  <c r="AB42" i="7" s="1"/>
  <c r="AC43" i="7" a="1"/>
  <c r="AC43" i="7" s="1"/>
  <c r="AB43" i="7" s="1"/>
  <c r="AC44" i="7" a="1"/>
  <c r="AC44" i="7" s="1"/>
  <c r="AB44" i="7" s="1"/>
  <c r="AC45" i="7" a="1"/>
  <c r="AC45" i="7" s="1"/>
  <c r="AB45" i="7" s="1"/>
  <c r="AC46" i="7" a="1"/>
  <c r="AC46" i="7" s="1"/>
  <c r="AB46" i="7" s="1"/>
  <c r="AC47" i="7" a="1"/>
  <c r="AC47" i="7" s="1"/>
  <c r="AB47" i="7" s="1"/>
  <c r="AC48" i="7" a="1"/>
  <c r="AC48" i="7" s="1"/>
  <c r="AB48" i="7" s="1"/>
  <c r="AC49" i="7" a="1"/>
  <c r="AC49" i="7" s="1"/>
  <c r="AB49" i="7" s="1"/>
  <c r="AC50" i="7" a="1"/>
  <c r="AC50" i="7" s="1"/>
  <c r="AB50" i="7" s="1"/>
  <c r="AC51" i="7" a="1"/>
  <c r="AC51" i="7" s="1"/>
  <c r="AB51" i="7" s="1"/>
  <c r="AC52" i="7" a="1"/>
  <c r="AC52" i="7" s="1"/>
  <c r="AB52" i="7" s="1"/>
  <c r="AC53" i="7" a="1"/>
  <c r="AC53" i="7" s="1"/>
  <c r="AB53" i="7" s="1"/>
  <c r="AC54" i="7" a="1"/>
  <c r="AC54" i="7" s="1"/>
  <c r="AB54" i="7" s="1"/>
  <c r="AC55" i="7" a="1"/>
  <c r="AC55" i="7" s="1"/>
  <c r="AB55" i="7" s="1"/>
  <c r="AC56" i="7" a="1"/>
  <c r="AC56" i="7" s="1"/>
  <c r="AB56" i="7" s="1"/>
  <c r="AC57" i="7" a="1"/>
  <c r="AC57" i="7" s="1"/>
  <c r="AB57" i="7" s="1"/>
  <c r="AC58" i="7" a="1"/>
  <c r="AC58" i="7" s="1"/>
  <c r="AB58" i="7" s="1"/>
  <c r="AC59" i="7" a="1"/>
  <c r="AC59" i="7" s="1"/>
  <c r="AB59" i="7" s="1"/>
  <c r="AC60" i="7" a="1"/>
  <c r="AC60" i="7" s="1"/>
  <c r="AB60" i="7" s="1"/>
  <c r="AC61" i="7" a="1"/>
  <c r="AC61" i="7" s="1"/>
  <c r="AB61" i="7" s="1"/>
  <c r="AC62" i="7" a="1"/>
  <c r="AC62" i="7" s="1"/>
  <c r="AB62" i="7" s="1"/>
  <c r="AC63" i="7" a="1"/>
  <c r="AC63" i="7" s="1"/>
  <c r="AB63" i="7" s="1"/>
  <c r="AC64" i="7" a="1"/>
  <c r="AC64" i="7" s="1"/>
  <c r="AB64" i="7" s="1"/>
  <c r="AC65" i="7" a="1"/>
  <c r="AC65" i="7" s="1"/>
  <c r="AB65" i="7" s="1"/>
  <c r="AC66" i="7" a="1"/>
  <c r="AC66" i="7" s="1"/>
  <c r="AB66" i="7" s="1"/>
  <c r="AC67" i="7" a="1"/>
  <c r="AC67" i="7" s="1"/>
  <c r="AB67" i="7" s="1"/>
  <c r="AC68" i="7" a="1"/>
  <c r="AC68" i="7" s="1"/>
  <c r="AB68" i="7" s="1"/>
  <c r="AC69" i="7" a="1"/>
  <c r="AC69" i="7" s="1"/>
  <c r="AB69" i="7" s="1"/>
  <c r="AC70" i="7" a="1"/>
  <c r="AC70" i="7" s="1"/>
  <c r="AB70" i="7" s="1"/>
  <c r="AC71" i="7" a="1"/>
  <c r="AC71" i="7" s="1"/>
  <c r="AB71" i="7" s="1"/>
  <c r="AC72" i="7" a="1"/>
  <c r="AC72" i="7" s="1"/>
  <c r="AB72" i="7" s="1"/>
  <c r="AC73" i="7" a="1"/>
  <c r="AC73" i="7" s="1"/>
  <c r="AB73" i="7" s="1"/>
  <c r="AC74" i="7" a="1"/>
  <c r="AC74" i="7" s="1"/>
  <c r="AB74" i="7" s="1"/>
  <c r="AC75" i="7" a="1"/>
  <c r="AC75" i="7" s="1"/>
  <c r="AB75" i="7" s="1"/>
  <c r="AC76" i="7" a="1"/>
  <c r="AC76" i="7" s="1"/>
  <c r="AB76" i="7" s="1"/>
  <c r="AC77" i="7" a="1"/>
  <c r="AC77" i="7" s="1"/>
  <c r="AB77" i="7" s="1"/>
  <c r="AC78" i="7" a="1"/>
  <c r="AC78" i="7" s="1"/>
  <c r="AB78" i="7" s="1"/>
  <c r="AC79" i="7" a="1"/>
  <c r="AC79" i="7" s="1"/>
  <c r="AB79" i="7" s="1"/>
  <c r="AC80" i="7" a="1"/>
  <c r="AC80" i="7" s="1"/>
  <c r="AB80" i="7" s="1"/>
  <c r="AC81" i="7" a="1"/>
  <c r="AC81" i="7" s="1"/>
  <c r="AB81" i="7" s="1"/>
  <c r="AC82" i="7" a="1"/>
  <c r="AC82" i="7" s="1"/>
  <c r="AB82" i="7" s="1"/>
  <c r="AC83" i="7" a="1"/>
  <c r="AC83" i="7" s="1"/>
  <c r="AB83" i="7" s="1"/>
  <c r="AC84" i="7" a="1"/>
  <c r="AC84" i="7" s="1"/>
  <c r="AB84" i="7" s="1"/>
  <c r="AC85" i="7" a="1"/>
  <c r="AC85" i="7" s="1"/>
  <c r="AB85" i="7" s="1"/>
  <c r="AC86" i="7" a="1"/>
  <c r="AC86" i="7" s="1"/>
  <c r="AB86" i="7" s="1"/>
  <c r="AC87" i="7" a="1"/>
  <c r="AC87" i="7" s="1"/>
  <c r="AB87" i="7" s="1"/>
  <c r="AC88" i="7" a="1"/>
  <c r="AC88" i="7" s="1"/>
  <c r="AB88" i="7" s="1"/>
  <c r="AC89" i="7" a="1"/>
  <c r="AC89" i="7" s="1"/>
  <c r="AB89" i="7" s="1"/>
  <c r="AC90" i="7" a="1"/>
  <c r="AC90" i="7" s="1"/>
  <c r="AB90" i="7" s="1"/>
  <c r="AC91" i="7" a="1"/>
  <c r="AC91" i="7" s="1"/>
  <c r="AB91" i="7" s="1"/>
  <c r="AC92" i="7" a="1"/>
  <c r="AC92" i="7" s="1"/>
  <c r="AB92" i="7" s="1"/>
  <c r="AC93" i="7" a="1"/>
  <c r="AC93" i="7" s="1"/>
  <c r="AB93" i="7" s="1"/>
  <c r="AC94" i="7" a="1"/>
  <c r="AC94" i="7" s="1"/>
  <c r="AB94" i="7" s="1"/>
  <c r="AC95" i="7" a="1"/>
  <c r="AC95" i="7" s="1"/>
  <c r="AB95" i="7" s="1"/>
  <c r="AC96" i="7" a="1"/>
  <c r="AC96" i="7" s="1"/>
  <c r="AB96" i="7" s="1"/>
  <c r="AC97" i="7" a="1"/>
  <c r="AC97" i="7" s="1"/>
  <c r="AB97" i="7" s="1"/>
  <c r="AC98" i="7" a="1"/>
  <c r="AC98" i="7" s="1"/>
  <c r="AB98" i="7" s="1"/>
  <c r="AC99" i="7" a="1"/>
  <c r="AC99" i="7" s="1"/>
  <c r="AB99" i="7" s="1"/>
  <c r="AC100" i="7" a="1"/>
  <c r="AC100" i="7" s="1"/>
  <c r="AB100" i="7" s="1"/>
  <c r="AC101" i="7" a="1"/>
  <c r="AC101" i="7" s="1"/>
  <c r="AB101" i="7" s="1"/>
  <c r="AC102" i="7" a="1"/>
  <c r="AC102" i="7" s="1"/>
  <c r="AB102" i="7" s="1"/>
  <c r="AC103" i="7" a="1"/>
  <c r="AC103" i="7" s="1"/>
  <c r="AB103" i="7" s="1"/>
  <c r="AC104" i="7" a="1"/>
  <c r="AC104" i="7" s="1"/>
  <c r="AB104" i="7" s="1"/>
  <c r="AC105" i="7" a="1"/>
  <c r="AC105" i="7" s="1"/>
  <c r="AB105" i="7" s="1"/>
  <c r="AC106" i="7" a="1"/>
  <c r="AC106" i="7" s="1"/>
  <c r="AB106" i="7" s="1"/>
  <c r="AC107" i="7" a="1"/>
  <c r="AC107" i="7" s="1"/>
  <c r="AB107" i="7" s="1"/>
  <c r="AC108" i="7" a="1"/>
  <c r="AC108" i="7" s="1"/>
  <c r="AB108" i="7" s="1"/>
  <c r="AC109" i="7" a="1"/>
  <c r="AC109" i="7" s="1"/>
  <c r="AB109" i="7" s="1"/>
  <c r="AC110" i="7" a="1"/>
  <c r="AC110" i="7" s="1"/>
  <c r="AB110" i="7" s="1"/>
  <c r="AC111" i="7" a="1"/>
  <c r="AC111" i="7" s="1"/>
  <c r="AB111" i="7" s="1"/>
  <c r="AC112" i="7" a="1"/>
  <c r="AC112" i="7" s="1"/>
  <c r="AB112" i="7" s="1"/>
  <c r="AC113" i="7" a="1"/>
  <c r="AC113" i="7" s="1"/>
  <c r="AB113" i="7" s="1"/>
  <c r="AC114" i="7" a="1"/>
  <c r="AC114" i="7" s="1"/>
  <c r="AB114" i="7" s="1"/>
  <c r="AC115" i="7" a="1"/>
  <c r="AC115" i="7" s="1"/>
  <c r="AB115" i="7" s="1"/>
  <c r="AC116" i="7" a="1"/>
  <c r="AC116" i="7" s="1"/>
  <c r="AB116" i="7" s="1"/>
  <c r="AC117" i="7" a="1"/>
  <c r="AC117" i="7" s="1"/>
  <c r="AB117" i="7" s="1"/>
  <c r="AC118" i="7" a="1"/>
  <c r="AC118" i="7" s="1"/>
  <c r="AB118" i="7" s="1"/>
  <c r="AC119" i="7" a="1"/>
  <c r="AC119" i="7" s="1"/>
  <c r="AB119" i="7" s="1"/>
  <c r="AC120" i="7" a="1"/>
  <c r="AC120" i="7" s="1"/>
  <c r="AB120" i="7" s="1"/>
  <c r="AC121" i="7" a="1"/>
  <c r="AC121" i="7" s="1"/>
  <c r="AB121" i="7" s="1"/>
  <c r="AC122" i="7" a="1"/>
  <c r="AC122" i="7" s="1"/>
  <c r="AB122" i="7" s="1"/>
  <c r="AC123" i="7" a="1"/>
  <c r="AC123" i="7" s="1"/>
  <c r="AB123" i="7" s="1"/>
  <c r="AC124" i="7" a="1"/>
  <c r="AC124" i="7" s="1"/>
  <c r="AB124" i="7" s="1"/>
  <c r="AC125" i="7" a="1"/>
  <c r="AC125" i="7" s="1"/>
  <c r="AB125" i="7" s="1"/>
  <c r="AC126" i="7" a="1"/>
  <c r="AC126" i="7" s="1"/>
  <c r="AB126" i="7" s="1"/>
  <c r="AC127" i="7" a="1"/>
  <c r="AC127" i="7" s="1"/>
  <c r="AB127" i="7" s="1"/>
  <c r="AC128" i="7" a="1"/>
  <c r="AC128" i="7" s="1"/>
  <c r="AB128" i="7" s="1"/>
  <c r="AC129" i="7" a="1"/>
  <c r="AC129" i="7" s="1"/>
  <c r="AB129" i="7" s="1"/>
  <c r="AC130" i="7" a="1"/>
  <c r="AC130" i="7" s="1"/>
  <c r="AB130" i="7" s="1"/>
  <c r="AC131" i="7" a="1"/>
  <c r="AC131" i="7" s="1"/>
  <c r="AB131" i="7" s="1"/>
  <c r="AC132" i="7" a="1"/>
  <c r="AC132" i="7" s="1"/>
  <c r="AB132" i="7" s="1"/>
  <c r="AC133" i="7" a="1"/>
  <c r="AC133" i="7" s="1"/>
  <c r="AB133" i="7" s="1"/>
  <c r="AC134" i="7" a="1"/>
  <c r="AC134" i="7" s="1"/>
  <c r="AB134" i="7" s="1"/>
  <c r="AC135" i="7" a="1"/>
  <c r="AC135" i="7" s="1"/>
  <c r="AB135" i="7" s="1"/>
  <c r="AC136" i="7" a="1"/>
  <c r="AC136" i="7" s="1"/>
  <c r="AB136" i="7" s="1"/>
  <c r="AC137" i="7" a="1"/>
  <c r="AC137" i="7" s="1"/>
  <c r="AB137" i="7" s="1"/>
  <c r="AC138" i="7" a="1"/>
  <c r="AC138" i="7" s="1"/>
  <c r="AB138" i="7" s="1"/>
  <c r="AC139" i="7" a="1"/>
  <c r="AC139" i="7" s="1"/>
  <c r="AB139" i="7" s="1"/>
  <c r="AC140" i="7" a="1"/>
  <c r="AC140" i="7" s="1"/>
  <c r="AB140" i="7" s="1"/>
  <c r="AC141" i="7" a="1"/>
  <c r="AC141" i="7" s="1"/>
  <c r="AB141" i="7" s="1"/>
  <c r="AC142" i="7" a="1"/>
  <c r="AC142" i="7" s="1"/>
  <c r="AB142" i="7" s="1"/>
  <c r="AC143" i="7" a="1"/>
  <c r="AC143" i="7" s="1"/>
  <c r="AB143" i="7" s="1"/>
  <c r="AC144" i="7" a="1"/>
  <c r="AC144" i="7" s="1"/>
  <c r="AB144" i="7" s="1"/>
  <c r="AC145" i="7" a="1"/>
  <c r="AC145" i="7" s="1"/>
  <c r="AB145" i="7" s="1"/>
  <c r="AC146" i="7" a="1"/>
  <c r="AC146" i="7" s="1"/>
  <c r="AB146" i="7" s="1"/>
  <c r="AC147" i="7" a="1"/>
  <c r="AC147" i="7" s="1"/>
  <c r="AB147" i="7" s="1"/>
  <c r="AC148" i="7" a="1"/>
  <c r="AC148" i="7" s="1"/>
  <c r="AB148" i="7" s="1"/>
  <c r="AC149" i="7" a="1"/>
  <c r="AC149" i="7" s="1"/>
  <c r="AB149" i="7" s="1"/>
  <c r="AC150" i="7" a="1"/>
  <c r="AC150" i="7" s="1"/>
  <c r="AB150" i="7" s="1"/>
  <c r="AC151" i="7" a="1"/>
  <c r="AC151" i="7" s="1"/>
  <c r="AB151" i="7" s="1"/>
  <c r="AC152" i="7" a="1"/>
  <c r="AC152" i="7" s="1"/>
  <c r="AB152" i="7" s="1"/>
  <c r="AC153" i="7" a="1"/>
  <c r="AC153" i="7" s="1"/>
  <c r="AB153" i="7" s="1"/>
  <c r="AC154" i="7" a="1"/>
  <c r="AC154" i="7" s="1"/>
  <c r="AB154" i="7" s="1"/>
  <c r="AC155" i="7" a="1"/>
  <c r="AC155" i="7" s="1"/>
  <c r="AB155" i="7" s="1"/>
  <c r="AC156" i="7" a="1"/>
  <c r="AC156" i="7" s="1"/>
  <c r="AB156" i="7" s="1"/>
  <c r="AC157" i="7" a="1"/>
  <c r="AC157" i="7" s="1"/>
  <c r="AB157" i="7" s="1"/>
  <c r="AC158" i="7" a="1"/>
  <c r="AC158" i="7" s="1"/>
  <c r="AB158" i="7" s="1"/>
  <c r="AC159" i="7" a="1"/>
  <c r="AC159" i="7" s="1"/>
  <c r="AB159" i="7" s="1"/>
  <c r="AC160" i="7" a="1"/>
  <c r="AC160" i="7" s="1"/>
  <c r="AB160" i="7" s="1"/>
  <c r="AC161" i="7" a="1"/>
  <c r="AC161" i="7" s="1"/>
  <c r="AB161" i="7" s="1"/>
  <c r="AC162" i="7" a="1"/>
  <c r="AC162" i="7" s="1"/>
  <c r="AB162" i="7" s="1"/>
  <c r="AC163" i="7" a="1"/>
  <c r="AC163" i="7" s="1"/>
  <c r="AB163" i="7" s="1"/>
  <c r="AC164" i="7" a="1"/>
  <c r="AC164" i="7" s="1"/>
  <c r="AB164" i="7" s="1"/>
  <c r="AC165" i="7" a="1"/>
  <c r="AC165" i="7" s="1"/>
  <c r="AB165" i="7" s="1"/>
  <c r="AC166" i="7" a="1"/>
  <c r="AC166" i="7" s="1"/>
  <c r="AB166" i="7" s="1"/>
  <c r="AC167" i="7" a="1"/>
  <c r="AC167" i="7" s="1"/>
  <c r="AB167" i="7" s="1"/>
  <c r="AC168" i="7" a="1"/>
  <c r="AC168" i="7" s="1"/>
  <c r="AB168" i="7" s="1"/>
  <c r="AC169" i="7" a="1"/>
  <c r="AC169" i="7" s="1"/>
  <c r="AB169" i="7" s="1"/>
  <c r="AC170" i="7" a="1"/>
  <c r="AC170" i="7" s="1"/>
  <c r="AB170" i="7" s="1"/>
  <c r="AC171" i="7" a="1"/>
  <c r="AC171" i="7" s="1"/>
  <c r="AB171" i="7" s="1"/>
  <c r="AC172" i="7" a="1"/>
  <c r="AC172" i="7" s="1"/>
  <c r="AB172" i="7" s="1"/>
  <c r="AC173" i="7" a="1"/>
  <c r="AC173" i="7" s="1"/>
  <c r="AB173" i="7" s="1"/>
  <c r="AC174" i="7" a="1"/>
  <c r="AC174" i="7" s="1"/>
  <c r="AB174" i="7" s="1"/>
  <c r="AC175" i="7" a="1"/>
  <c r="AC175" i="7" s="1"/>
  <c r="AB175" i="7" s="1"/>
  <c r="AC176" i="7" a="1"/>
  <c r="AC176" i="7" s="1"/>
  <c r="AB176" i="7" s="1"/>
  <c r="AC177" i="7" a="1"/>
  <c r="AC177" i="7" s="1"/>
  <c r="AB177" i="7" s="1"/>
  <c r="AC178" i="7" a="1"/>
  <c r="AC178" i="7" s="1"/>
  <c r="AB178" i="7" s="1"/>
  <c r="AC179" i="7" a="1"/>
  <c r="AC179" i="7" s="1"/>
  <c r="AB179" i="7" s="1"/>
  <c r="AC180" i="7" a="1"/>
  <c r="AC180" i="7" s="1"/>
  <c r="AB180" i="7" s="1"/>
  <c r="AC181" i="7" a="1"/>
  <c r="AC181" i="7" s="1"/>
  <c r="AB181" i="7" s="1"/>
  <c r="AC182" i="7" a="1"/>
  <c r="AC182" i="7" s="1"/>
  <c r="AB182" i="7" s="1"/>
  <c r="AC183" i="7" a="1"/>
  <c r="AC183" i="7" s="1"/>
  <c r="AB183" i="7" s="1"/>
  <c r="AC184" i="7" a="1"/>
  <c r="AC184" i="7" s="1"/>
  <c r="AB184" i="7" s="1"/>
  <c r="AC185" i="7" a="1"/>
  <c r="AC185" i="7" s="1"/>
  <c r="AB185" i="7" s="1"/>
  <c r="AC186" i="7" a="1"/>
  <c r="AC186" i="7" s="1"/>
  <c r="AB186" i="7" s="1"/>
  <c r="AC187" i="7" a="1"/>
  <c r="AC187" i="7" s="1"/>
  <c r="AB187" i="7" s="1"/>
  <c r="AC188" i="7" a="1"/>
  <c r="AC188" i="7" s="1"/>
  <c r="AB188" i="7" s="1"/>
  <c r="AC189" i="7" a="1"/>
  <c r="AC189" i="7" s="1"/>
  <c r="AB189" i="7" s="1"/>
  <c r="AC190" i="7" a="1"/>
  <c r="AC190" i="7" s="1"/>
  <c r="AB190" i="7" s="1"/>
  <c r="AC191" i="7" a="1"/>
  <c r="AC191" i="7" s="1"/>
  <c r="AB191" i="7" s="1"/>
  <c r="AC192" i="7" a="1"/>
  <c r="AC192" i="7" s="1"/>
  <c r="AB192" i="7" s="1"/>
  <c r="AC193" i="7" a="1"/>
  <c r="AC193" i="7" s="1"/>
  <c r="AB193" i="7" s="1"/>
  <c r="AC194" i="7" a="1"/>
  <c r="AC194" i="7" s="1"/>
  <c r="AB194" i="7" s="1"/>
  <c r="AC195" i="7" a="1"/>
  <c r="AC195" i="7" s="1"/>
  <c r="AB195" i="7" s="1"/>
  <c r="AC196" i="7" a="1"/>
  <c r="AC196" i="7" s="1"/>
  <c r="AB196" i="7" s="1"/>
  <c r="AC197" i="7" a="1"/>
  <c r="AC197" i="7" s="1"/>
  <c r="AB197" i="7" s="1"/>
  <c r="AC198" i="7" a="1"/>
  <c r="AC198" i="7" s="1"/>
  <c r="AB198" i="7" s="1"/>
  <c r="AC199" i="7" a="1"/>
  <c r="AC199" i="7" s="1"/>
  <c r="AB199" i="7" s="1"/>
  <c r="AC200" i="7" a="1"/>
  <c r="AC200" i="7" s="1"/>
  <c r="AB200" i="7" s="1"/>
  <c r="AC201" i="7" a="1"/>
  <c r="AC201" i="7" s="1"/>
  <c r="AB201" i="7" s="1"/>
  <c r="AC202" i="7" a="1"/>
  <c r="AC202" i="7" s="1"/>
  <c r="AB202" i="7" s="1"/>
  <c r="AC203" i="7" a="1"/>
  <c r="AC203" i="7" s="1"/>
  <c r="AB203" i="7" s="1"/>
  <c r="AC204" i="7" a="1"/>
  <c r="AC204" i="7" s="1"/>
  <c r="AB204" i="7" s="1"/>
  <c r="AC205" i="7" a="1"/>
  <c r="AC205" i="7" s="1"/>
  <c r="AB205" i="7" s="1"/>
  <c r="AC206" i="7" a="1"/>
  <c r="AC206" i="7" s="1"/>
  <c r="AB206" i="7" s="1"/>
  <c r="AC207" i="7" a="1"/>
  <c r="AC207" i="7" s="1"/>
  <c r="AB207" i="7" s="1"/>
  <c r="AC208" i="7" a="1"/>
  <c r="AC208" i="7" s="1"/>
  <c r="AB208" i="7" s="1"/>
  <c r="AC2" i="7" a="1"/>
  <c r="AC2" i="7" s="1"/>
  <c r="AB2" i="7" s="1"/>
  <c r="Z205" i="7"/>
  <c r="AA205" i="7" s="1"/>
  <c r="Z206" i="7"/>
  <c r="Z207" i="7"/>
  <c r="Z208" i="7"/>
  <c r="AA206" i="7"/>
  <c r="AA207" i="7"/>
  <c r="AA208" i="7"/>
  <c r="Z187" i="7"/>
  <c r="AA187" i="7" s="1"/>
  <c r="Z188" i="7"/>
  <c r="AA188" i="7" s="1"/>
  <c r="Z189" i="7"/>
  <c r="AA189" i="7" s="1"/>
  <c r="Z190" i="7"/>
  <c r="AA190" i="7" s="1"/>
  <c r="Z191" i="7"/>
  <c r="AA191" i="7" s="1"/>
  <c r="Z192" i="7"/>
  <c r="AA192" i="7" s="1"/>
  <c r="Z193" i="7"/>
  <c r="Z194" i="7"/>
  <c r="Z195" i="7"/>
  <c r="Z196" i="7"/>
  <c r="Z197" i="7"/>
  <c r="Z198" i="7"/>
  <c r="Z199" i="7"/>
  <c r="Z200" i="7"/>
  <c r="Z201" i="7"/>
  <c r="Z202" i="7"/>
  <c r="Z203" i="7"/>
  <c r="Z204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Z169" i="7"/>
  <c r="AA169" i="7" s="1"/>
  <c r="Z170" i="7"/>
  <c r="AA170" i="7" s="1"/>
  <c r="Z171" i="7"/>
  <c r="AA171" i="7" s="1"/>
  <c r="Z172" i="7"/>
  <c r="AA172" i="7" s="1"/>
  <c r="Z173" i="7"/>
  <c r="AA173" i="7" s="1"/>
  <c r="Z174" i="7"/>
  <c r="AA174" i="7" s="1"/>
  <c r="Z175" i="7"/>
  <c r="AA175" i="7" s="1"/>
  <c r="Z176" i="7"/>
  <c r="AA176" i="7" s="1"/>
  <c r="Z177" i="7"/>
  <c r="AA177" i="7" s="1"/>
  <c r="Z178" i="7"/>
  <c r="AA178" i="7" s="1"/>
  <c r="Z179" i="7"/>
  <c r="AA179" i="7" s="1"/>
  <c r="Z180" i="7"/>
  <c r="AA180" i="7" s="1"/>
  <c r="Z181" i="7"/>
  <c r="AA181" i="7" s="1"/>
  <c r="Z182" i="7"/>
  <c r="AA182" i="7" s="1"/>
  <c r="Z183" i="7"/>
  <c r="AA183" i="7" s="1"/>
  <c r="Z184" i="7"/>
  <c r="AA184" i="7" s="1"/>
  <c r="Z185" i="7"/>
  <c r="AA185" i="7" s="1"/>
  <c r="Z186" i="7"/>
  <c r="AA186" i="7" s="1"/>
  <c r="Z165" i="7"/>
  <c r="AA165" i="7" s="1"/>
  <c r="Z166" i="7"/>
  <c r="AA166" i="7" s="1"/>
  <c r="Z167" i="7"/>
  <c r="AA167" i="7" s="1"/>
  <c r="Z168" i="7"/>
  <c r="AA168" i="7" s="1"/>
  <c r="Z164" i="7"/>
  <c r="AA164" i="7" s="1"/>
  <c r="Z154" i="7"/>
  <c r="AA154" i="7" s="1"/>
  <c r="Z155" i="7"/>
  <c r="AA155" i="7" s="1"/>
  <c r="Z156" i="7"/>
  <c r="AA156" i="7" s="1"/>
  <c r="Z157" i="7"/>
  <c r="AA157" i="7" s="1"/>
  <c r="Z158" i="7"/>
  <c r="AA158" i="7" s="1"/>
  <c r="Z159" i="7"/>
  <c r="AA159" i="7" s="1"/>
  <c r="Z160" i="7"/>
  <c r="AA160" i="7" s="1"/>
  <c r="Z161" i="7"/>
  <c r="AA161" i="7" s="1"/>
  <c r="Z162" i="7"/>
  <c r="AA162" i="7" s="1"/>
  <c r="Z163" i="7"/>
  <c r="AA163" i="7" s="1"/>
  <c r="Z151" i="7"/>
  <c r="AA151" i="7" s="1"/>
  <c r="Z152" i="7"/>
  <c r="Z153" i="7"/>
  <c r="AA152" i="7"/>
  <c r="AA153" i="7"/>
  <c r="Z147" i="7"/>
  <c r="AA147" i="7" s="1"/>
  <c r="Z148" i="7"/>
  <c r="AA148" i="7" s="1"/>
  <c r="Z149" i="7"/>
  <c r="AA149" i="7" s="1"/>
  <c r="Z150" i="7"/>
  <c r="AA150" i="7" s="1"/>
  <c r="Z146" i="7"/>
  <c r="AA146" i="7" s="1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Z128" i="7"/>
  <c r="AA128" i="7" s="1"/>
  <c r="Z129" i="7"/>
  <c r="AA129" i="7" s="1"/>
  <c r="Z130" i="7"/>
  <c r="AA130" i="7" s="1"/>
  <c r="Z131" i="7"/>
  <c r="AA131" i="7" s="1"/>
  <c r="Z13" i="7"/>
  <c r="Z2" i="7"/>
  <c r="Z3" i="7"/>
  <c r="Z4" i="7"/>
  <c r="Z5" i="7"/>
  <c r="Z6" i="7"/>
  <c r="Z7" i="7"/>
  <c r="Z8" i="7"/>
  <c r="Z14" i="7"/>
  <c r="Z15" i="7"/>
  <c r="Z16" i="7"/>
  <c r="Z17" i="7"/>
  <c r="Z35" i="7"/>
  <c r="Z36" i="7"/>
  <c r="Z37" i="7"/>
  <c r="Z44" i="7"/>
  <c r="Z45" i="7"/>
  <c r="Z72" i="7"/>
  <c r="Z73" i="7"/>
  <c r="Z74" i="7"/>
  <c r="Z75" i="7"/>
  <c r="Z76" i="7"/>
  <c r="Z77" i="7"/>
  <c r="Z9" i="7"/>
  <c r="Z10" i="7"/>
  <c r="Z78" i="7"/>
  <c r="Z11" i="7"/>
  <c r="Z46" i="7"/>
  <c r="Z47" i="7"/>
  <c r="Z79" i="7"/>
  <c r="Z48" i="7"/>
  <c r="Z80" i="7"/>
  <c r="Z18" i="7"/>
  <c r="Z38" i="7"/>
  <c r="Z81" i="7"/>
  <c r="Z82" i="7"/>
  <c r="Z83" i="7"/>
  <c r="Z19" i="7"/>
  <c r="Z20" i="7"/>
  <c r="Z21" i="7"/>
  <c r="Z22" i="7"/>
  <c r="Z23" i="7"/>
  <c r="Z24" i="7"/>
  <c r="Z25" i="7"/>
  <c r="Z26" i="7"/>
  <c r="Z39" i="7"/>
  <c r="Z40" i="7"/>
  <c r="Z41" i="7"/>
  <c r="Z42" i="7"/>
  <c r="Z43" i="7"/>
  <c r="Z49" i="7"/>
  <c r="Z50" i="7"/>
  <c r="Z51" i="7"/>
  <c r="Z52" i="7"/>
  <c r="Z53" i="7"/>
  <c r="Z54" i="7"/>
  <c r="Z55" i="7"/>
  <c r="Z62" i="7"/>
  <c r="Z63" i="7"/>
  <c r="Z64" i="7"/>
  <c r="Z65" i="7"/>
  <c r="Z66" i="7"/>
  <c r="Z67" i="7"/>
  <c r="Z68" i="7"/>
  <c r="Z69" i="7"/>
  <c r="Z70" i="7"/>
  <c r="Z84" i="7"/>
  <c r="Z85" i="7"/>
  <c r="Z86" i="7"/>
  <c r="Z27" i="7"/>
  <c r="Z28" i="7"/>
  <c r="Z56" i="7"/>
  <c r="Z57" i="7"/>
  <c r="Z29" i="7"/>
  <c r="Z30" i="7"/>
  <c r="Z58" i="7"/>
  <c r="Z59" i="7"/>
  <c r="Z60" i="7"/>
  <c r="Z61" i="7"/>
  <c r="Z71" i="7"/>
  <c r="Z87" i="7"/>
  <c r="Z12" i="7"/>
  <c r="Z31" i="7"/>
  <c r="Z32" i="7"/>
  <c r="Z33" i="7"/>
  <c r="Z34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M67" i="2"/>
  <c r="AA1" i="2"/>
  <c r="AC2" i="2"/>
  <c r="AD2" i="2" s="1"/>
  <c r="AG2" i="2"/>
  <c r="AH2" i="2" s="1"/>
  <c r="J37" i="2" a="1"/>
  <c r="J37" i="2" s="1"/>
  <c r="J42" i="2" a="1"/>
  <c r="J42" i="2" s="1"/>
  <c r="J43" i="2" a="1"/>
  <c r="J43" i="2" s="1"/>
  <c r="J47" i="2" a="1"/>
  <c r="J47" i="2" s="1"/>
  <c r="J22" i="2" a="1"/>
  <c r="J22" i="2" s="1"/>
  <c r="J21" i="2" a="1"/>
  <c r="J21" i="2" s="1"/>
  <c r="J16" i="2" a="1"/>
  <c r="J16" i="2" s="1"/>
  <c r="J20" i="2" a="1"/>
  <c r="J20" i="2" s="1"/>
  <c r="J36" i="2" a="1"/>
  <c r="J36" i="2" s="1"/>
  <c r="J23" i="2" a="1"/>
  <c r="J23" i="2" s="1"/>
  <c r="J56" i="2" a="1"/>
  <c r="J56" i="2" s="1"/>
  <c r="J12" i="2" a="1"/>
  <c r="J12" i="2" s="1"/>
  <c r="J2" i="2" a="1"/>
  <c r="J2" i="2" s="1"/>
  <c r="J18" i="2" a="1"/>
  <c r="J18" i="2" s="1"/>
  <c r="J19" i="2" a="1"/>
  <c r="J19" i="2" s="1"/>
  <c r="J10" i="2" a="1"/>
  <c r="J10" i="2" s="1"/>
  <c r="J24" i="2" a="1"/>
  <c r="J24" i="2" s="1"/>
  <c r="J54" i="2" a="1"/>
  <c r="J54" i="2" s="1"/>
  <c r="J40" i="2" a="1"/>
  <c r="J40" i="2" s="1"/>
  <c r="J13" i="2" a="1"/>
  <c r="J13" i="2" s="1"/>
  <c r="J25" i="2" a="1"/>
  <c r="J25" i="2" s="1"/>
  <c r="J7" i="2" a="1"/>
  <c r="J7" i="2" s="1"/>
  <c r="J39" i="2" a="1"/>
  <c r="J39" i="2" s="1"/>
  <c r="J6" i="2" a="1"/>
  <c r="J6" i="2" s="1"/>
  <c r="J32" i="2" a="1"/>
  <c r="J32" i="2" s="1"/>
  <c r="J53" i="2" a="1"/>
  <c r="J53" i="2" s="1"/>
  <c r="J63" i="2" a="1"/>
  <c r="J63" i="2" s="1"/>
  <c r="J46" i="2" a="1"/>
  <c r="J46" i="2" s="1"/>
  <c r="J52" i="2" a="1"/>
  <c r="J52" i="2" s="1"/>
  <c r="J17" i="2" a="1"/>
  <c r="J17" i="2" s="1"/>
  <c r="J15" i="2" a="1"/>
  <c r="J15" i="2" s="1"/>
  <c r="J55" i="2" a="1"/>
  <c r="J55" i="2" s="1"/>
  <c r="J27" i="2" a="1"/>
  <c r="J27" i="2" s="1"/>
  <c r="J65" i="2" a="1"/>
  <c r="J65" i="2" s="1"/>
  <c r="J49" i="2" a="1"/>
  <c r="J49" i="2" s="1"/>
  <c r="J62" i="2" a="1"/>
  <c r="J62" i="2" s="1"/>
  <c r="J48" i="2" a="1"/>
  <c r="J48" i="2" s="1"/>
  <c r="J8" i="2" a="1"/>
  <c r="J8" i="2" s="1"/>
  <c r="J41" i="2" a="1"/>
  <c r="J41" i="2" s="1"/>
  <c r="J66" i="2" a="1"/>
  <c r="J66" i="2" s="1"/>
  <c r="J3" i="2" a="1"/>
  <c r="J3" i="2" s="1"/>
  <c r="J45" i="2" a="1"/>
  <c r="J45" i="2" s="1"/>
  <c r="J31" i="2" a="1"/>
  <c r="J31" i="2" s="1"/>
  <c r="J26" i="2" a="1"/>
  <c r="J26" i="2" s="1"/>
  <c r="J38" i="2" a="1"/>
  <c r="J38" i="2" s="1"/>
  <c r="J4" i="2" a="1"/>
  <c r="J4" i="2" s="1"/>
  <c r="J64" i="2" a="1"/>
  <c r="J64" i="2" s="1"/>
  <c r="J28" i="2" a="1"/>
  <c r="J28" i="2" s="1"/>
  <c r="J11" i="2" a="1"/>
  <c r="J11" i="2" s="1"/>
  <c r="J30" i="2" a="1"/>
  <c r="J30" i="2" s="1"/>
  <c r="J29" i="2" a="1"/>
  <c r="J29" i="2" s="1"/>
  <c r="J50" i="2" a="1"/>
  <c r="J50" i="2" s="1"/>
  <c r="J60" i="2" a="1"/>
  <c r="J60" i="2" s="1"/>
  <c r="J58" i="2" a="1"/>
  <c r="J58" i="2" s="1"/>
  <c r="J9" i="2" a="1"/>
  <c r="J9" i="2" s="1"/>
  <c r="J33" i="2" a="1"/>
  <c r="J33" i="2" s="1"/>
  <c r="J34" i="2" a="1"/>
  <c r="J34" i="2" s="1"/>
  <c r="J61" i="2" a="1"/>
  <c r="J61" i="2" s="1"/>
  <c r="J14" i="2" a="1"/>
  <c r="J14" i="2" s="1"/>
  <c r="J35" i="2" a="1"/>
  <c r="J35" i="2" s="1"/>
  <c r="J44" i="2" a="1"/>
  <c r="J44" i="2" s="1"/>
  <c r="J5" i="2" a="1"/>
  <c r="J5" i="2" s="1"/>
  <c r="J59" i="2" a="1"/>
  <c r="J59" i="2" s="1"/>
  <c r="J57" i="2" a="1"/>
  <c r="J57" i="2" s="1"/>
  <c r="J51" i="2" a="1"/>
  <c r="J51" i="2" s="1"/>
  <c r="E10" i="2"/>
  <c r="E11" i="2"/>
  <c r="T3" i="1"/>
  <c r="E17" i="2" s="1"/>
  <c r="T4" i="1"/>
  <c r="E51" i="2" s="1"/>
  <c r="T5" i="1"/>
  <c r="E54" i="2" s="1"/>
  <c r="T6" i="1"/>
  <c r="E60" i="2" s="1"/>
  <c r="T7" i="1"/>
  <c r="E49" i="2" s="1"/>
  <c r="T8" i="1"/>
  <c r="E30" i="2" s="1"/>
  <c r="T9" i="1"/>
  <c r="E66" i="2" s="1"/>
  <c r="T10" i="1"/>
  <c r="E40" i="2" s="1"/>
  <c r="T11" i="1"/>
  <c r="E53" i="2" s="1"/>
  <c r="T12" i="1"/>
  <c r="E52" i="2" s="1"/>
  <c r="T13" i="1"/>
  <c r="E37" i="2" s="1"/>
  <c r="T14" i="1"/>
  <c r="E38" i="2" s="1"/>
  <c r="T15" i="1"/>
  <c r="E65" i="2" s="1"/>
  <c r="T16" i="1"/>
  <c r="E7" i="2" s="1"/>
  <c r="T17" i="1"/>
  <c r="E59" i="2" s="1"/>
  <c r="T18" i="1"/>
  <c r="E50" i="2" s="1"/>
  <c r="T19" i="1"/>
  <c r="T20" i="1"/>
  <c r="E33" i="2" s="1"/>
  <c r="T21" i="1"/>
  <c r="E48" i="2" s="1"/>
  <c r="T22" i="1"/>
  <c r="E55" i="2" s="1"/>
  <c r="T23" i="1"/>
  <c r="E12" i="2" s="1"/>
  <c r="T24" i="1"/>
  <c r="T25" i="1"/>
  <c r="E62" i="2" s="1"/>
  <c r="T26" i="1"/>
  <c r="E46" i="2" s="1"/>
  <c r="T27" i="1"/>
  <c r="E32" i="2" s="1"/>
  <c r="T28" i="1"/>
  <c r="E27" i="2" s="1"/>
  <c r="T29" i="1"/>
  <c r="E63" i="2" s="1"/>
  <c r="T30" i="1"/>
  <c r="E24" i="2" s="1"/>
  <c r="T31" i="1"/>
  <c r="E3" i="2" s="1"/>
  <c r="T32" i="1"/>
  <c r="E42" i="2" s="1"/>
  <c r="T33" i="1"/>
  <c r="E56" i="2" s="1"/>
  <c r="T34" i="1"/>
  <c r="E61" i="2" s="1"/>
  <c r="T35" i="1"/>
  <c r="E35" i="2" s="1"/>
  <c r="T36" i="1"/>
  <c r="E16" i="2" s="1"/>
  <c r="T37" i="1"/>
  <c r="T38" i="1"/>
  <c r="E44" i="2" s="1"/>
  <c r="T39" i="1"/>
  <c r="E18" i="2" s="1"/>
  <c r="T40" i="1"/>
  <c r="T41" i="1"/>
  <c r="E9" i="2" s="1"/>
  <c r="T42" i="1"/>
  <c r="E20" i="2" s="1"/>
  <c r="T43" i="1"/>
  <c r="E26" i="2" s="1"/>
  <c r="T44" i="1"/>
  <c r="E39" i="2" s="1"/>
  <c r="T45" i="1"/>
  <c r="E6" i="2" s="1"/>
  <c r="T46" i="1"/>
  <c r="E8" i="2" s="1"/>
  <c r="T47" i="1"/>
  <c r="E31" i="2" s="1"/>
  <c r="T48" i="1"/>
  <c r="E13" i="2" s="1"/>
  <c r="T49" i="1"/>
  <c r="E23" i="2" s="1"/>
  <c r="T50" i="1"/>
  <c r="E4" i="2" s="1"/>
  <c r="T51" i="1"/>
  <c r="E43" i="2" s="1"/>
  <c r="T52" i="1"/>
  <c r="T53" i="1"/>
  <c r="E5" i="2" s="1"/>
  <c r="T54" i="1"/>
  <c r="E64" i="2" s="1"/>
  <c r="T55" i="1"/>
  <c r="E41" i="2" s="1"/>
  <c r="T56" i="1"/>
  <c r="E21" i="2" s="1"/>
  <c r="T57" i="1"/>
  <c r="T58" i="1"/>
  <c r="E36" i="2" s="1"/>
  <c r="T59" i="1"/>
  <c r="E15" i="2" s="1"/>
  <c r="T60" i="1"/>
  <c r="E14" i="2" s="1"/>
  <c r="T61" i="1"/>
  <c r="E45" i="2" s="1"/>
  <c r="T62" i="1"/>
  <c r="E19" i="2" s="1"/>
  <c r="T63" i="1"/>
  <c r="E58" i="2" s="1"/>
  <c r="T64" i="1"/>
  <c r="E25" i="2" s="1"/>
  <c r="T65" i="1"/>
  <c r="E57" i="2" s="1"/>
  <c r="T66" i="1"/>
  <c r="E47" i="2" s="1"/>
  <c r="T67" i="1"/>
  <c r="E22" i="2" s="1"/>
  <c r="T68" i="1"/>
  <c r="E34" i="2" s="1"/>
  <c r="T69" i="1"/>
  <c r="T70" i="1"/>
  <c r="T71" i="1"/>
  <c r="T72" i="1"/>
  <c r="T73" i="1"/>
  <c r="T74" i="1"/>
  <c r="T75" i="1"/>
  <c r="E29" i="2" s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E2" i="2" s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2" i="1"/>
  <c r="E28" i="2" s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K37" i="2" l="1"/>
  <c r="AB13" i="7"/>
  <c r="I29" i="2"/>
  <c r="I26" i="2"/>
  <c r="I66" i="2" l="1"/>
  <c r="I62" i="2"/>
  <c r="I55" i="2"/>
  <c r="I46" i="2"/>
  <c r="I12" i="2"/>
  <c r="I6" i="2"/>
  <c r="I16" i="2"/>
  <c r="I4" i="2"/>
  <c r="I10" i="2"/>
  <c r="I2" i="2"/>
  <c r="I40" i="2"/>
  <c r="I39" i="2"/>
  <c r="I53" i="2"/>
  <c r="I52" i="2"/>
  <c r="I27" i="2"/>
  <c r="I61" i="2"/>
  <c r="I5" i="2"/>
  <c r="I20" i="2"/>
  <c r="I45" i="2"/>
  <c r="I9" i="2"/>
  <c r="I48" i="2"/>
  <c r="I3" i="2"/>
  <c r="I38" i="2"/>
  <c r="I64" i="2"/>
  <c r="I30" i="2"/>
  <c r="I58" i="2"/>
  <c r="I36" i="2"/>
  <c r="I34" i="2"/>
  <c r="I11" i="2"/>
  <c r="I14" i="2"/>
  <c r="I21" i="2"/>
  <c r="I18" i="2"/>
  <c r="I22" i="2"/>
  <c r="I47" i="2"/>
  <c r="I37" i="2"/>
  <c r="I51" i="2"/>
  <c r="I44" i="2"/>
  <c r="I60" i="2"/>
  <c r="I42" i="2"/>
  <c r="I17" i="2"/>
  <c r="I50" i="2"/>
  <c r="I54" i="2"/>
  <c r="I49" i="2"/>
  <c r="I15" i="2"/>
  <c r="I63" i="2"/>
  <c r="I7" i="2"/>
  <c r="I13" i="2"/>
  <c r="I57" i="2"/>
  <c r="I25" i="2"/>
  <c r="I31" i="2"/>
  <c r="I35" i="2"/>
  <c r="I56" i="2"/>
  <c r="I59" i="2"/>
  <c r="I19" i="2"/>
  <c r="I65" i="2"/>
  <c r="I33" i="2"/>
  <c r="I43" i="2"/>
  <c r="I23" i="2"/>
  <c r="I32" i="2"/>
  <c r="I28" i="2"/>
  <c r="I41" i="2"/>
  <c r="I24" i="2"/>
  <c r="I8" i="2"/>
  <c r="S131" i="1" l="1"/>
  <c r="S132" i="1"/>
  <c r="S133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9" i="2" s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G3" i="10" l="1"/>
  <c r="D29" i="10" l="1"/>
  <c r="D28" i="10"/>
  <c r="D27" i="10" l="1"/>
  <c r="D26" i="10"/>
  <c r="D23" i="10"/>
  <c r="D24" i="10"/>
  <c r="D25" i="10"/>
  <c r="D22" i="10"/>
  <c r="D21" i="10" l="1"/>
  <c r="D20" i="10" l="1"/>
  <c r="D19" i="10" l="1"/>
  <c r="D16" i="10"/>
  <c r="D17" i="10"/>
  <c r="D18" i="10"/>
  <c r="D15" i="10"/>
  <c r="D3" i="10"/>
  <c r="D4" i="10"/>
  <c r="D5" i="10"/>
  <c r="D6" i="10"/>
  <c r="D7" i="10"/>
  <c r="D8" i="10"/>
  <c r="D9" i="10"/>
  <c r="D10" i="10"/>
  <c r="D11" i="10"/>
  <c r="D12" i="10"/>
  <c r="D13" i="10"/>
  <c r="D14" i="10"/>
  <c r="F3" i="10" l="1"/>
  <c r="H3" i="10" s="1"/>
  <c r="I67" i="2"/>
  <c r="H53" i="2"/>
  <c r="R53" i="2"/>
  <c r="S53" i="2"/>
  <c r="H18" i="2"/>
  <c r="S40" i="2"/>
  <c r="S12" i="2"/>
  <c r="S38" i="2"/>
  <c r="S64" i="2"/>
  <c r="S49" i="2"/>
  <c r="S13" i="2"/>
  <c r="S20" i="2"/>
  <c r="S17" i="2"/>
  <c r="S56" i="2"/>
  <c r="S42" i="2"/>
  <c r="S47" i="2"/>
  <c r="S57" i="2"/>
  <c r="S3" i="2"/>
  <c r="S11" i="2"/>
  <c r="S41" i="2"/>
  <c r="S21" i="2"/>
  <c r="S44" i="2"/>
  <c r="S65" i="2"/>
  <c r="S8" i="2"/>
  <c r="S46" i="2"/>
  <c r="S37" i="2"/>
  <c r="S36" i="2"/>
  <c r="S31" i="2"/>
  <c r="S66" i="2"/>
  <c r="S62" i="2"/>
  <c r="S39" i="2"/>
  <c r="S19" i="2"/>
  <c r="S34" i="2"/>
  <c r="S35" i="2"/>
  <c r="S60" i="2"/>
  <c r="S29" i="2"/>
  <c r="S10" i="2"/>
  <c r="S61" i="2"/>
  <c r="S33" i="2"/>
  <c r="S59" i="2"/>
  <c r="S27" i="2"/>
  <c r="S23" i="2"/>
  <c r="S55" i="2"/>
  <c r="S5" i="2"/>
  <c r="S6" i="2"/>
  <c r="S50" i="2"/>
  <c r="S9" i="2"/>
  <c r="S43" i="2"/>
  <c r="S15" i="2"/>
  <c r="S30" i="2"/>
  <c r="S63" i="2"/>
  <c r="S28" i="2"/>
  <c r="S51" i="2"/>
  <c r="S32" i="2"/>
  <c r="S14" i="2"/>
  <c r="S22" i="2"/>
  <c r="S25" i="2"/>
  <c r="S4" i="2"/>
  <c r="S26" i="2"/>
  <c r="S52" i="2"/>
  <c r="S58" i="2"/>
  <c r="S45" i="2"/>
  <c r="S24" i="2"/>
  <c r="S16" i="2"/>
  <c r="S7" i="2"/>
  <c r="S48" i="2"/>
  <c r="S2" i="2"/>
  <c r="S54" i="2"/>
  <c r="S18" i="2"/>
  <c r="T53" i="2" l="1"/>
  <c r="T18" i="2"/>
  <c r="Q53" i="2"/>
  <c r="Q18" i="2"/>
  <c r="S67" i="2"/>
  <c r="K53" i="2" l="1"/>
  <c r="O53" i="2" s="1"/>
  <c r="P53" i="2" l="1"/>
  <c r="K40" i="2"/>
  <c r="K46" i="2"/>
  <c r="N53" i="2" l="1"/>
  <c r="H28" i="2"/>
  <c r="T28" i="2" s="1"/>
  <c r="Q28" i="2" l="1"/>
  <c r="R28" i="2"/>
  <c r="H42" i="2" l="1"/>
  <c r="T42" i="2" s="1"/>
  <c r="H36" i="2"/>
  <c r="T36" i="2" s="1"/>
  <c r="H31" i="2"/>
  <c r="T31" i="2" s="1"/>
  <c r="H40" i="2"/>
  <c r="O40" i="2" s="1"/>
  <c r="H7" i="2"/>
  <c r="T7" i="2" s="1"/>
  <c r="H66" i="2"/>
  <c r="T66" i="2" s="1"/>
  <c r="H37" i="2"/>
  <c r="O37" i="2" s="1"/>
  <c r="H48" i="2"/>
  <c r="T48" i="2" s="1"/>
  <c r="H30" i="2"/>
  <c r="T30" i="2" s="1"/>
  <c r="H65" i="2"/>
  <c r="T65" i="2" s="1"/>
  <c r="H59" i="2"/>
  <c r="T59" i="2" s="1"/>
  <c r="H52" i="2"/>
  <c r="T52" i="2" s="1"/>
  <c r="H56" i="2"/>
  <c r="T56" i="2" s="1"/>
  <c r="H63" i="2"/>
  <c r="T63" i="2" s="1"/>
  <c r="H38" i="2"/>
  <c r="T38" i="2" s="1"/>
  <c r="H8" i="2"/>
  <c r="T8" i="2" s="1"/>
  <c r="H43" i="2"/>
  <c r="T43" i="2" s="1"/>
  <c r="H12" i="2"/>
  <c r="T12" i="2" s="1"/>
  <c r="H5" i="2"/>
  <c r="T5" i="2" s="1"/>
  <c r="H10" i="2"/>
  <c r="T10" i="2" s="1"/>
  <c r="H27" i="2"/>
  <c r="T27" i="2" s="1"/>
  <c r="H45" i="2"/>
  <c r="T45" i="2" s="1"/>
  <c r="H22" i="2"/>
  <c r="T22" i="2" s="1"/>
  <c r="H47" i="2"/>
  <c r="T47" i="2" s="1"/>
  <c r="H6" i="2"/>
  <c r="T6" i="2" s="1"/>
  <c r="H54" i="2"/>
  <c r="T54" i="2" s="1"/>
  <c r="H26" i="2"/>
  <c r="T26" i="2" s="1"/>
  <c r="H50" i="2"/>
  <c r="T50" i="2" s="1"/>
  <c r="H35" i="2"/>
  <c r="T35" i="2" s="1"/>
  <c r="H16" i="2"/>
  <c r="T16" i="2" s="1"/>
  <c r="H34" i="2"/>
  <c r="T34" i="2" s="1"/>
  <c r="H4" i="2"/>
  <c r="T4" i="2" s="1"/>
  <c r="R4" i="2"/>
  <c r="H9" i="2"/>
  <c r="T9" i="2" s="1"/>
  <c r="H15" i="2"/>
  <c r="T15" i="2" s="1"/>
  <c r="H17" i="2"/>
  <c r="T17" i="2" s="1"/>
  <c r="H39" i="2"/>
  <c r="T39" i="2" s="1"/>
  <c r="H33" i="2"/>
  <c r="T33" i="2" s="1"/>
  <c r="H61" i="2"/>
  <c r="T61" i="2" s="1"/>
  <c r="H19" i="2"/>
  <c r="T19" i="2" s="1"/>
  <c r="H46" i="2"/>
  <c r="O46" i="2" s="1"/>
  <c r="H51" i="2"/>
  <c r="T51" i="2" s="1"/>
  <c r="T40" i="2" l="1"/>
  <c r="P40" i="2"/>
  <c r="T37" i="2"/>
  <c r="T46" i="2"/>
  <c r="P46" i="2"/>
  <c r="Q42" i="2"/>
  <c r="Q36" i="2"/>
  <c r="Q31" i="2"/>
  <c r="Q7" i="2"/>
  <c r="Q66" i="2"/>
  <c r="Q37" i="2"/>
  <c r="Q48" i="2"/>
  <c r="Q30" i="2"/>
  <c r="Q65" i="2"/>
  <c r="Q59" i="2"/>
  <c r="Q52" i="2"/>
  <c r="Q56" i="2"/>
  <c r="Q63" i="2"/>
  <c r="Q38" i="2"/>
  <c r="Q8" i="2"/>
  <c r="Q43" i="2"/>
  <c r="Q12" i="2"/>
  <c r="Q5" i="2"/>
  <c r="Q10" i="2"/>
  <c r="Q27" i="2"/>
  <c r="Q45" i="2"/>
  <c r="Q22" i="2"/>
  <c r="Q47" i="2"/>
  <c r="Q6" i="2"/>
  <c r="Q54" i="2"/>
  <c r="Q26" i="2"/>
  <c r="Q50" i="2"/>
  <c r="Q35" i="2"/>
  <c r="Q16" i="2"/>
  <c r="Q34" i="2"/>
  <c r="Q4" i="2"/>
  <c r="Q9" i="2"/>
  <c r="Q15" i="2"/>
  <c r="Q17" i="2"/>
  <c r="Q39" i="2"/>
  <c r="Q33" i="2"/>
  <c r="Q61" i="2"/>
  <c r="Q19" i="2"/>
  <c r="Q51" i="2"/>
  <c r="Q40" i="2"/>
  <c r="Q46" i="2"/>
  <c r="R2" i="2"/>
  <c r="H2" i="2"/>
  <c r="T2" i="2" s="1"/>
  <c r="H11" i="2"/>
  <c r="T11" i="2" s="1"/>
  <c r="H62" i="2"/>
  <c r="T62" i="2" s="1"/>
  <c r="H32" i="2"/>
  <c r="T32" i="2" s="1"/>
  <c r="H20" i="2"/>
  <c r="T20" i="2" s="1"/>
  <c r="H57" i="2"/>
  <c r="T57" i="2" s="1"/>
  <c r="H60" i="2"/>
  <c r="T60" i="2" s="1"/>
  <c r="H29" i="2"/>
  <c r="T29" i="2" s="1"/>
  <c r="H24" i="2"/>
  <c r="T24" i="2" s="1"/>
  <c r="H49" i="2"/>
  <c r="T49" i="2" s="1"/>
  <c r="H41" i="2"/>
  <c r="T41" i="2" s="1"/>
  <c r="H25" i="2"/>
  <c r="T25" i="2" s="1"/>
  <c r="H58" i="2"/>
  <c r="T58" i="2" s="1"/>
  <c r="H21" i="2"/>
  <c r="T21" i="2" s="1"/>
  <c r="H23" i="2"/>
  <c r="T23" i="2" s="1"/>
  <c r="H3" i="2"/>
  <c r="T3" i="2" s="1"/>
  <c r="H44" i="2"/>
  <c r="T44" i="2" s="1"/>
  <c r="H64" i="2"/>
  <c r="T64" i="2" s="1"/>
  <c r="H55" i="2"/>
  <c r="T55" i="2" s="1"/>
  <c r="H13" i="2"/>
  <c r="T13" i="2" s="1"/>
  <c r="N40" i="2" l="1"/>
  <c r="N46" i="2"/>
  <c r="Q2" i="2"/>
  <c r="Q11" i="2"/>
  <c r="Q62" i="2"/>
  <c r="Q32" i="2"/>
  <c r="Q20" i="2"/>
  <c r="Q57" i="2"/>
  <c r="Q60" i="2"/>
  <c r="Q29" i="2"/>
  <c r="Q24" i="2"/>
  <c r="Q49" i="2"/>
  <c r="Q41" i="2"/>
  <c r="Q25" i="2"/>
  <c r="Q58" i="2"/>
  <c r="Q21" i="2"/>
  <c r="Q23" i="2"/>
  <c r="Q3" i="2"/>
  <c r="Q44" i="2"/>
  <c r="Q64" i="2"/>
  <c r="Q55" i="2"/>
  <c r="Q13" i="2"/>
  <c r="R42" i="2" l="1"/>
  <c r="R11" i="2"/>
  <c r="R6" i="2"/>
  <c r="R62" i="2"/>
  <c r="R19" i="2"/>
  <c r="R32" i="2"/>
  <c r="R56" i="2"/>
  <c r="R10" i="2"/>
  <c r="R21" i="2"/>
  <c r="R41" i="2"/>
  <c r="R39" i="2"/>
  <c r="R60" i="2"/>
  <c r="R13" i="2"/>
  <c r="R3" i="2"/>
  <c r="R17" i="2"/>
  <c r="R18" i="2"/>
  <c r="R20" i="2"/>
  <c r="R16" i="2"/>
  <c r="R50" i="2"/>
  <c r="R26" i="2"/>
  <c r="R54" i="2"/>
  <c r="R47" i="2"/>
  <c r="R22" i="2"/>
  <c r="R33" i="2"/>
  <c r="R45" i="2"/>
  <c r="R31" i="2"/>
  <c r="R27" i="2"/>
  <c r="R24" i="2"/>
  <c r="R12" i="2"/>
  <c r="R43" i="2"/>
  <c r="R8" i="2"/>
  <c r="R38" i="2"/>
  <c r="R63" i="2"/>
  <c r="R14" i="2"/>
  <c r="R65" i="2"/>
  <c r="R30" i="2"/>
  <c r="R48" i="2"/>
  <c r="R37" i="2"/>
  <c r="R66" i="2"/>
  <c r="R7" i="2"/>
  <c r="R40" i="2"/>
  <c r="R5" i="2"/>
  <c r="R52" i="2"/>
  <c r="R36" i="2"/>
  <c r="R51" i="2"/>
  <c r="K28" i="2" l="1"/>
  <c r="O28" i="2" s="1"/>
  <c r="K38" i="2"/>
  <c r="O38" i="2" s="1"/>
  <c r="R61" i="2"/>
  <c r="R35" i="2"/>
  <c r="R15" i="2"/>
  <c r="R23" i="2"/>
  <c r="R59" i="2"/>
  <c r="R25" i="2"/>
  <c r="R64" i="2"/>
  <c r="R49" i="2"/>
  <c r="R44" i="2"/>
  <c r="R57" i="2"/>
  <c r="R29" i="2"/>
  <c r="R58" i="2"/>
  <c r="R55" i="2"/>
  <c r="R46" i="2"/>
  <c r="R34" i="2"/>
  <c r="K7" i="2"/>
  <c r="O7" i="2" s="1"/>
  <c r="R67" i="2" l="1"/>
  <c r="P28" i="2"/>
  <c r="P38" i="2"/>
  <c r="P7" i="2"/>
  <c r="K19" i="2"/>
  <c r="O19" i="2" s="1"/>
  <c r="K10" i="2"/>
  <c r="O10" i="2" s="1"/>
  <c r="K8" i="2"/>
  <c r="O8" i="2" s="1"/>
  <c r="K50" i="2"/>
  <c r="O50" i="2" s="1"/>
  <c r="K18" i="2"/>
  <c r="O18" i="2" s="1"/>
  <c r="K48" i="2"/>
  <c r="O48" i="2" s="1"/>
  <c r="K11" i="2"/>
  <c r="O11" i="2" s="1"/>
  <c r="K17" i="2"/>
  <c r="O17" i="2" s="1"/>
  <c r="K9" i="2"/>
  <c r="O9" i="2" s="1"/>
  <c r="K4" i="2"/>
  <c r="O4" i="2" s="1"/>
  <c r="P37" i="2"/>
  <c r="K58" i="2"/>
  <c r="O58" i="2" s="1"/>
  <c r="K64" i="2"/>
  <c r="O64" i="2" s="1"/>
  <c r="K21" i="2"/>
  <c r="O21" i="2" s="1"/>
  <c r="K36" i="2"/>
  <c r="O36" i="2" s="1"/>
  <c r="K59" i="2"/>
  <c r="O59" i="2" s="1"/>
  <c r="K35" i="2"/>
  <c r="O35" i="2" s="1"/>
  <c r="K51" i="2"/>
  <c r="O51" i="2" s="1"/>
  <c r="K65" i="2"/>
  <c r="O65" i="2" s="1"/>
  <c r="K44" i="2"/>
  <c r="O44" i="2" s="1"/>
  <c r="K52" i="2"/>
  <c r="O52" i="2" s="1"/>
  <c r="K23" i="2"/>
  <c r="O23" i="2" s="1"/>
  <c r="K62" i="2"/>
  <c r="O62" i="2" s="1"/>
  <c r="K13" i="2"/>
  <c r="O13" i="2" s="1"/>
  <c r="K42" i="2"/>
  <c r="O42" i="2" s="1"/>
  <c r="K22" i="2"/>
  <c r="O22" i="2" s="1"/>
  <c r="K29" i="2"/>
  <c r="O29" i="2" s="1"/>
  <c r="K57" i="2"/>
  <c r="O57" i="2" s="1"/>
  <c r="K43" i="2"/>
  <c r="O43" i="2" s="1"/>
  <c r="K26" i="2"/>
  <c r="O26" i="2" s="1"/>
  <c r="K49" i="2"/>
  <c r="O49" i="2" s="1"/>
  <c r="K54" i="2"/>
  <c r="O54" i="2" s="1"/>
  <c r="K30" i="2"/>
  <c r="O30" i="2" s="1"/>
  <c r="K27" i="2"/>
  <c r="O27" i="2" s="1"/>
  <c r="K47" i="2"/>
  <c r="O47" i="2" s="1"/>
  <c r="K34" i="2"/>
  <c r="O34" i="2" s="1"/>
  <c r="K45" i="2"/>
  <c r="O45" i="2" s="1"/>
  <c r="K16" i="2"/>
  <c r="O16" i="2" s="1"/>
  <c r="K15" i="2"/>
  <c r="O15" i="2" s="1"/>
  <c r="K20" i="2"/>
  <c r="O20" i="2" s="1"/>
  <c r="K33" i="2"/>
  <c r="O33" i="2" s="1"/>
  <c r="K24" i="2"/>
  <c r="O24" i="2" s="1"/>
  <c r="K55" i="2"/>
  <c r="O55" i="2" s="1"/>
  <c r="K14" i="2"/>
  <c r="K60" i="2"/>
  <c r="O60" i="2" s="1"/>
  <c r="K31" i="2"/>
  <c r="O31" i="2" s="1"/>
  <c r="K5" i="2"/>
  <c r="O5" i="2" s="1"/>
  <c r="K3" i="2"/>
  <c r="O3" i="2" s="1"/>
  <c r="K2" i="2"/>
  <c r="O2" i="2" s="1"/>
  <c r="K12" i="2"/>
  <c r="O12" i="2" s="1"/>
  <c r="K56" i="2"/>
  <c r="O56" i="2" s="1"/>
  <c r="K61" i="2"/>
  <c r="O61" i="2" s="1"/>
  <c r="K66" i="2"/>
  <c r="O66" i="2" s="1"/>
  <c r="K41" i="2"/>
  <c r="O41" i="2" s="1"/>
  <c r="K39" i="2"/>
  <c r="O39" i="2" s="1"/>
  <c r="K63" i="2"/>
  <c r="O63" i="2" s="1"/>
  <c r="K6" i="2"/>
  <c r="O6" i="2" s="1"/>
  <c r="K32" i="2"/>
  <c r="O32" i="2" s="1"/>
  <c r="K25" i="2"/>
  <c r="O25" i="2" s="1"/>
  <c r="H14" i="2"/>
  <c r="T14" i="2" s="1"/>
  <c r="O14" i="2" l="1"/>
  <c r="P14" i="2" s="1"/>
  <c r="N37" i="2"/>
  <c r="N28" i="2"/>
  <c r="N38" i="2"/>
  <c r="N7" i="2"/>
  <c r="Q14" i="2"/>
  <c r="Q67" i="2" s="1"/>
  <c r="P19" i="2"/>
  <c r="P10" i="2"/>
  <c r="P8" i="2"/>
  <c r="P50" i="2"/>
  <c r="P18" i="2"/>
  <c r="P48" i="2"/>
  <c r="P11" i="2"/>
  <c r="P17" i="2"/>
  <c r="P9" i="2"/>
  <c r="P4" i="2"/>
  <c r="P58" i="2"/>
  <c r="P64" i="2"/>
  <c r="P21" i="2"/>
  <c r="P36" i="2"/>
  <c r="P59" i="2"/>
  <c r="P35" i="2"/>
  <c r="P51" i="2"/>
  <c r="P65" i="2"/>
  <c r="P44" i="2"/>
  <c r="P52" i="2"/>
  <c r="P23" i="2"/>
  <c r="P62" i="2"/>
  <c r="P13" i="2"/>
  <c r="P42" i="2"/>
  <c r="P22" i="2"/>
  <c r="P29" i="2"/>
  <c r="P57" i="2"/>
  <c r="P43" i="2"/>
  <c r="P26" i="2"/>
  <c r="P49" i="2"/>
  <c r="P54" i="2"/>
  <c r="P30" i="2"/>
  <c r="P27" i="2"/>
  <c r="P47" i="2"/>
  <c r="P34" i="2"/>
  <c r="P45" i="2"/>
  <c r="P16" i="2"/>
  <c r="P15" i="2"/>
  <c r="P20" i="2"/>
  <c r="P33" i="2"/>
  <c r="P24" i="2"/>
  <c r="P55" i="2"/>
  <c r="P60" i="2"/>
  <c r="P31" i="2"/>
  <c r="P5" i="2"/>
  <c r="P3" i="2"/>
  <c r="P2" i="2"/>
  <c r="P12" i="2"/>
  <c r="P56" i="2"/>
  <c r="P61" i="2"/>
  <c r="P66" i="2"/>
  <c r="P41" i="2"/>
  <c r="P39" i="2"/>
  <c r="P63" i="2"/>
  <c r="P6" i="2"/>
  <c r="P32" i="2"/>
  <c r="P25" i="2"/>
  <c r="H67" i="2"/>
  <c r="N19" i="2" l="1"/>
  <c r="N10" i="2"/>
  <c r="N8" i="2"/>
  <c r="N50" i="2"/>
  <c r="N18" i="2"/>
  <c r="N48" i="2"/>
  <c r="N11" i="2"/>
  <c r="N17" i="2"/>
  <c r="N9" i="2"/>
  <c r="N4" i="2"/>
  <c r="N58" i="2"/>
  <c r="N64" i="2"/>
  <c r="N21" i="2"/>
  <c r="N36" i="2"/>
  <c r="N59" i="2"/>
  <c r="N35" i="2"/>
  <c r="N51" i="2"/>
  <c r="N65" i="2"/>
  <c r="N44" i="2"/>
  <c r="N52" i="2"/>
  <c r="N23" i="2"/>
  <c r="N62" i="2"/>
  <c r="N13" i="2"/>
  <c r="N42" i="2"/>
  <c r="N22" i="2"/>
  <c r="N29" i="2"/>
  <c r="N57" i="2"/>
  <c r="N43" i="2"/>
  <c r="N26" i="2"/>
  <c r="N49" i="2"/>
  <c r="N54" i="2"/>
  <c r="N30" i="2"/>
  <c r="N27" i="2"/>
  <c r="N47" i="2"/>
  <c r="N34" i="2"/>
  <c r="N45" i="2"/>
  <c r="N16" i="2"/>
  <c r="N15" i="2"/>
  <c r="N20" i="2"/>
  <c r="N33" i="2"/>
  <c r="N24" i="2"/>
  <c r="N55" i="2"/>
  <c r="N14" i="2"/>
  <c r="N60" i="2"/>
  <c r="N31" i="2"/>
  <c r="N5" i="2"/>
  <c r="N3" i="2"/>
  <c r="N2" i="2"/>
  <c r="N12" i="2"/>
  <c r="N56" i="2"/>
  <c r="N61" i="2"/>
  <c r="N66" i="2"/>
  <c r="N41" i="2"/>
  <c r="N39" i="2"/>
  <c r="N63" i="2"/>
  <c r="N6" i="2"/>
  <c r="N32" i="2"/>
  <c r="N25" i="2"/>
  <c r="O67" i="2"/>
  <c r="W1" i="2" s="1"/>
  <c r="N67" i="2" l="1"/>
  <c r="AA103" i="7"/>
  <c r="AA116" i="7"/>
  <c r="AA49" i="7"/>
  <c r="AA101" i="7"/>
  <c r="AA109" i="7"/>
  <c r="AA112" i="7"/>
  <c r="AA115" i="7"/>
  <c r="AA118" i="7"/>
  <c r="AA93" i="7"/>
  <c r="AA99" i="7"/>
  <c r="AA91" i="7"/>
  <c r="AA121" i="7"/>
  <c r="AA105" i="7"/>
  <c r="AA108" i="7"/>
  <c r="AA111" i="7"/>
  <c r="AA117" i="7"/>
  <c r="AA95" i="7"/>
  <c r="AA98" i="7"/>
  <c r="AA89" i="7"/>
  <c r="AA120" i="7"/>
  <c r="AA122" i="7"/>
  <c r="AA124" i="7"/>
  <c r="AA102" i="7"/>
  <c r="AA104" i="7"/>
  <c r="AA107" i="7"/>
  <c r="AA114" i="7"/>
  <c r="AA92" i="7"/>
  <c r="AA96" i="7"/>
  <c r="AA90" i="7"/>
  <c r="AA127" i="7"/>
  <c r="AA123" i="7"/>
  <c r="AA125" i="7"/>
  <c r="AA110" i="7"/>
  <c r="AA113" i="7"/>
  <c r="AA119" i="7"/>
  <c r="AA94" i="7"/>
  <c r="AA97" i="7"/>
  <c r="AA47" i="7"/>
  <c r="AA34" i="7"/>
  <c r="AA33" i="7"/>
  <c r="AA32" i="7"/>
  <c r="AA31" i="7"/>
  <c r="AA12" i="7"/>
  <c r="AA87" i="7"/>
  <c r="AA71" i="7"/>
  <c r="AA61" i="7"/>
  <c r="AA60" i="7"/>
  <c r="AA59" i="7"/>
  <c r="AA58" i="7"/>
  <c r="AA30" i="7"/>
  <c r="AA29" i="7"/>
  <c r="AA57" i="7"/>
  <c r="AA56" i="7"/>
  <c r="AA28" i="7"/>
  <c r="AA27" i="7"/>
  <c r="AA86" i="7"/>
  <c r="AA85" i="7"/>
  <c r="AA84" i="7"/>
  <c r="AA70" i="7"/>
  <c r="AA69" i="7"/>
  <c r="AA68" i="7"/>
  <c r="AA67" i="7"/>
  <c r="AA66" i="7"/>
  <c r="AA65" i="7"/>
  <c r="AA64" i="7"/>
  <c r="AA63" i="7"/>
  <c r="AA62" i="7"/>
  <c r="AA55" i="7"/>
  <c r="AA54" i="7"/>
  <c r="AA53" i="7"/>
  <c r="AA52" i="7"/>
  <c r="AA51" i="7"/>
  <c r="AA50" i="7"/>
  <c r="AA43" i="7"/>
  <c r="AA42" i="7"/>
  <c r="AA41" i="7"/>
  <c r="AA40" i="7"/>
  <c r="AA39" i="7"/>
  <c r="AA26" i="7"/>
  <c r="AA25" i="7"/>
  <c r="AA24" i="7"/>
  <c r="AA23" i="7"/>
  <c r="AA22" i="7"/>
  <c r="AA21" i="7"/>
  <c r="AA20" i="7"/>
  <c r="AA19" i="7"/>
  <c r="AA83" i="7"/>
  <c r="AA82" i="7"/>
  <c r="AA81" i="7"/>
  <c r="AA38" i="7"/>
  <c r="AA18" i="7"/>
  <c r="AA80" i="7"/>
  <c r="AA48" i="7"/>
  <c r="AA79" i="7"/>
  <c r="AA46" i="7"/>
  <c r="AA11" i="7"/>
  <c r="AA78" i="7"/>
  <c r="AA10" i="7"/>
  <c r="AA9" i="7"/>
  <c r="AA77" i="7"/>
  <c r="AA76" i="7"/>
  <c r="AA75" i="7"/>
  <c r="AA74" i="7"/>
  <c r="AA73" i="7"/>
  <c r="AA72" i="7"/>
  <c r="AA45" i="7"/>
  <c r="AA44" i="7"/>
  <c r="AA37" i="7"/>
  <c r="AA36" i="7"/>
  <c r="AA35" i="7"/>
  <c r="AA17" i="7"/>
  <c r="AA16" i="7"/>
  <c r="AA15" i="7"/>
  <c r="AA14" i="7"/>
  <c r="AA8" i="7"/>
  <c r="AA7" i="7"/>
  <c r="AA6" i="7"/>
  <c r="AA5" i="7"/>
  <c r="AA4" i="7"/>
  <c r="AA3" i="7"/>
  <c r="AA2" i="7"/>
  <c r="AA13" i="7"/>
  <c r="AA126" i="7"/>
  <c r="AA106" i="7"/>
  <c r="AA100" i="7"/>
  <c r="AA88" i="7" l="1"/>
  <c r="W2" i="2" s="1"/>
  <c r="W3" i="2" s="1"/>
  <c r="F40" i="2" l="1" a="1"/>
  <c r="F40" i="2" s="1"/>
  <c r="G40" i="2" s="1"/>
  <c r="F4" i="2" a="1"/>
  <c r="F4" i="2" s="1"/>
  <c r="G4" i="2" s="1"/>
  <c r="F48" i="2" a="1"/>
  <c r="F48" i="2" s="1"/>
  <c r="G48" i="2" s="1"/>
  <c r="F29" i="2" a="1"/>
  <c r="F29" i="2" s="1"/>
  <c r="G29" i="2" s="1"/>
  <c r="F47" i="2" a="1"/>
  <c r="F47" i="2" s="1"/>
  <c r="G47" i="2" s="1"/>
  <c r="F35" i="2" a="1"/>
  <c r="F35" i="2" s="1"/>
  <c r="G35" i="2" s="1"/>
  <c r="F54" i="2" a="1"/>
  <c r="F54" i="2" s="1"/>
  <c r="G54" i="2" s="1"/>
  <c r="F49" i="2" a="1"/>
  <c r="F49" i="2" s="1"/>
  <c r="G49" i="2" s="1"/>
  <c r="F22" i="2" a="1"/>
  <c r="F22" i="2" s="1"/>
  <c r="G22" i="2" s="1"/>
  <c r="F3" i="2" a="1"/>
  <c r="F3" i="2" s="1"/>
  <c r="G3" i="2" s="1"/>
  <c r="F62" i="2" a="1"/>
  <c r="F62" i="2" s="1"/>
  <c r="G62" i="2" s="1"/>
  <c r="F18" i="2" a="1"/>
  <c r="F18" i="2" s="1"/>
  <c r="G18" i="2" s="1"/>
  <c r="F30" i="2" a="1"/>
  <c r="F30" i="2" s="1"/>
  <c r="G30" i="2" s="1"/>
  <c r="F23" i="2" a="1"/>
  <c r="F23" i="2" s="1"/>
  <c r="G23" i="2" s="1"/>
  <c r="F41" i="2" a="1"/>
  <c r="F41" i="2" s="1"/>
  <c r="G41" i="2" s="1"/>
  <c r="F19" i="2" a="1"/>
  <c r="F19" i="2" s="1"/>
  <c r="G19" i="2" s="1"/>
  <c r="F25" i="2" a="1"/>
  <c r="F25" i="2" s="1"/>
  <c r="G25" i="2" s="1"/>
  <c r="F16" i="2" a="1"/>
  <c r="F16" i="2" s="1"/>
  <c r="G16" i="2" s="1"/>
  <c r="F45" i="2" a="1"/>
  <c r="F45" i="2" s="1"/>
  <c r="G45" i="2" s="1"/>
  <c r="F55" i="2" a="1"/>
  <c r="F55" i="2" s="1"/>
  <c r="G55" i="2" s="1"/>
  <c r="F5" i="2" a="1"/>
  <c r="F5" i="2" s="1"/>
  <c r="G5" i="2" s="1"/>
  <c r="F7" i="2" a="1"/>
  <c r="F7" i="2" s="1"/>
  <c r="G7" i="2" s="1"/>
  <c r="F15" i="2" a="1"/>
  <c r="F15" i="2" s="1"/>
  <c r="G15" i="2" s="1"/>
  <c r="F28" i="2" a="1"/>
  <c r="F28" i="2" s="1"/>
  <c r="G28" i="2" s="1"/>
  <c r="F53" i="2" a="1"/>
  <c r="F53" i="2" s="1"/>
  <c r="G53" i="2" s="1"/>
  <c r="F39" i="2" a="1"/>
  <c r="F39" i="2" s="1"/>
  <c r="G39" i="2" s="1"/>
  <c r="F36" i="2" a="1"/>
  <c r="F36" i="2" s="1"/>
  <c r="G36" i="2" s="1"/>
  <c r="F6" i="2" a="1"/>
  <c r="F6" i="2" s="1"/>
  <c r="G6" i="2" s="1"/>
  <c r="F12" i="2" a="1"/>
  <c r="F12" i="2" s="1"/>
  <c r="G12" i="2" s="1"/>
  <c r="F34" i="2" a="1"/>
  <c r="F34" i="2" s="1"/>
  <c r="G34" i="2" s="1"/>
  <c r="F63" i="2" a="1"/>
  <c r="F63" i="2" s="1"/>
  <c r="G63" i="2" s="1"/>
  <c r="F52" i="2" a="1"/>
  <c r="F52" i="2" s="1"/>
  <c r="G52" i="2" s="1"/>
  <c r="F17" i="2" a="1"/>
  <c r="F17" i="2" s="1"/>
  <c r="G17" i="2" s="1"/>
  <c r="F60" i="2" a="1"/>
  <c r="F60" i="2" s="1"/>
  <c r="G60" i="2" s="1"/>
  <c r="F9" i="2" a="1"/>
  <c r="F9" i="2" s="1"/>
  <c r="G9" i="2" s="1"/>
  <c r="F10" i="2" a="1"/>
  <c r="F10" i="2" s="1"/>
  <c r="G10" i="2" s="1"/>
  <c r="F26" i="2" a="1"/>
  <c r="F26" i="2" s="1"/>
  <c r="G26" i="2" s="1"/>
  <c r="F65" i="2" a="1"/>
  <c r="F65" i="2" s="1"/>
  <c r="G65" i="2" s="1"/>
  <c r="F46" i="2" a="1"/>
  <c r="F46" i="2" s="1"/>
  <c r="G46" i="2" s="1"/>
  <c r="F66" i="2" a="1"/>
  <c r="F66" i="2" s="1"/>
  <c r="G66" i="2" s="1"/>
  <c r="F2" i="2" a="1"/>
  <c r="F2" i="2" s="1"/>
  <c r="G2" i="2" s="1"/>
  <c r="F56" i="2" a="1"/>
  <c r="F56" i="2" s="1"/>
  <c r="G56" i="2" s="1"/>
  <c r="F58" i="2" a="1"/>
  <c r="F58" i="2" s="1"/>
  <c r="G58" i="2" s="1"/>
  <c r="F11" i="2" a="1"/>
  <c r="F11" i="2" s="1"/>
  <c r="G11" i="2" s="1"/>
  <c r="F27" i="2" a="1"/>
  <c r="F27" i="2" s="1"/>
  <c r="G27" i="2" s="1"/>
  <c r="F61" i="2" a="1"/>
  <c r="F61" i="2" s="1"/>
  <c r="G61" i="2" s="1"/>
  <c r="F44" i="2" a="1"/>
  <c r="F44" i="2" s="1"/>
  <c r="G44" i="2" s="1"/>
  <c r="F20" i="2" a="1"/>
  <c r="F20" i="2" s="1"/>
  <c r="G20" i="2" s="1"/>
  <c r="F24" i="2" a="1"/>
  <c r="F24" i="2" s="1"/>
  <c r="G24" i="2" s="1"/>
  <c r="F8" i="2" a="1"/>
  <c r="F8" i="2" s="1"/>
  <c r="G8" i="2" s="1"/>
  <c r="F38" i="2" a="1"/>
  <c r="F38" i="2" s="1"/>
  <c r="G38" i="2" s="1"/>
  <c r="F33" i="2" a="1"/>
  <c r="F33" i="2" s="1"/>
  <c r="G33" i="2" s="1"/>
  <c r="F13" i="2" a="1"/>
  <c r="F13" i="2" s="1"/>
  <c r="G13" i="2" s="1"/>
  <c r="F57" i="2" a="1"/>
  <c r="F57" i="2" s="1"/>
  <c r="G57" i="2" s="1"/>
  <c r="F31" i="2" a="1"/>
  <c r="F31" i="2" s="1"/>
  <c r="G31" i="2" s="1"/>
  <c r="F37" i="2" a="1"/>
  <c r="F37" i="2" s="1"/>
  <c r="G37" i="2" s="1"/>
  <c r="F59" i="2" a="1"/>
  <c r="F59" i="2" s="1"/>
  <c r="G59" i="2" s="1"/>
  <c r="F14" i="2" a="1"/>
  <c r="F14" i="2" s="1"/>
  <c r="G14" i="2" s="1"/>
  <c r="F32" i="2" a="1"/>
  <c r="F32" i="2" s="1"/>
  <c r="G32" i="2" s="1"/>
  <c r="F43" i="2" a="1"/>
  <c r="F43" i="2" s="1"/>
  <c r="G43" i="2" s="1"/>
  <c r="F50" i="2" a="1"/>
  <c r="F50" i="2" s="1"/>
  <c r="G50" i="2" s="1"/>
  <c r="F51" i="2" a="1"/>
  <c r="F51" i="2" s="1"/>
  <c r="G51" i="2" s="1"/>
  <c r="F42" i="2" a="1"/>
  <c r="F42" i="2" s="1"/>
  <c r="G42" i="2" s="1"/>
  <c r="F64" i="2" a="1"/>
  <c r="F64" i="2" s="1"/>
  <c r="G64" i="2" s="1"/>
  <c r="F21" i="2" a="1"/>
  <c r="F21" i="2" s="1"/>
  <c r="G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<sst xmlns="http://schemas.openxmlformats.org/spreadsheetml/2006/main" count="6107" uniqueCount="1805">
  <si>
    <t>MODELO</t>
  </si>
  <si>
    <t>ANO</t>
  </si>
  <si>
    <t>PLACA</t>
  </si>
  <si>
    <t>ROTA</t>
  </si>
  <si>
    <t>MOTORISTA</t>
  </si>
  <si>
    <t>KM CARREGADO</t>
  </si>
  <si>
    <t>KM VAZIO</t>
  </si>
  <si>
    <t>HODÔMETRO</t>
  </si>
  <si>
    <t>FATURAMENTO</t>
  </si>
  <si>
    <t>VOLUME TRANSPORTADO</t>
  </si>
  <si>
    <t>CUSTO FIXO (SEM DEPREC.)</t>
  </si>
  <si>
    <t>CUSTO VARIÁVEL</t>
  </si>
  <si>
    <t>EBITDA ESTIMADO</t>
  </si>
  <si>
    <t>EBITDA ATINGIDO</t>
  </si>
  <si>
    <t>RESULTADO</t>
  </si>
  <si>
    <t>MARGEM</t>
  </si>
  <si>
    <t>FATURAMENTO POR KM</t>
  </si>
  <si>
    <t>MÉDIA KM/L</t>
  </si>
  <si>
    <t>LITROS CONSUMIDOS</t>
  </si>
  <si>
    <t>Coluna1</t>
  </si>
  <si>
    <t>EBITDA BWT</t>
  </si>
  <si>
    <t>Dia</t>
  </si>
  <si>
    <t>CUSTO FIXO 7 EIXOS</t>
  </si>
  <si>
    <t>DEPREC. 7 EIXOS</t>
  </si>
  <si>
    <t>CUSTO FIXO 7 EIXOS SEM DEPREC.</t>
  </si>
  <si>
    <t>CUSTO FIXO 9 EIXOS</t>
  </si>
  <si>
    <t>DEPREC. 9 EIXOS</t>
  </si>
  <si>
    <t>CUSTO FIXO 9 EIXOS SEM DEPREC.</t>
  </si>
  <si>
    <t>VOLVO/FH 540 6X4T</t>
  </si>
  <si>
    <t>BDQ4E21</t>
  </si>
  <si>
    <t>ISOTANK</t>
  </si>
  <si>
    <t>EBITDA SUBCONTRATADO</t>
  </si>
  <si>
    <t>DAF/XF FTT 530</t>
  </si>
  <si>
    <t>RHG5D76</t>
  </si>
  <si>
    <t>SANTOS X PAULINIA</t>
  </si>
  <si>
    <t>SEX2C71</t>
  </si>
  <si>
    <t>SFA7F70</t>
  </si>
  <si>
    <t>VIBRA</t>
  </si>
  <si>
    <t>SEE2J88</t>
  </si>
  <si>
    <t>SCANIA/R 480 A6X4</t>
  </si>
  <si>
    <t>BAY4H67</t>
  </si>
  <si>
    <t>PGUA X LAPA</t>
  </si>
  <si>
    <t>SEX2C73</t>
  </si>
  <si>
    <t>METANOL</t>
  </si>
  <si>
    <t>RHH5C95</t>
  </si>
  <si>
    <t>VOLVO/FH 500 6X4T S BIO</t>
  </si>
  <si>
    <t>TAW2A67</t>
  </si>
  <si>
    <t>SEE2J92</t>
  </si>
  <si>
    <t>BAQ0D27</t>
  </si>
  <si>
    <t>TAW2A65</t>
  </si>
  <si>
    <t>RHI3D91</t>
  </si>
  <si>
    <t>BDQ4E34</t>
  </si>
  <si>
    <t>Spot melhor tarifa</t>
  </si>
  <si>
    <t>SFC5F45</t>
  </si>
  <si>
    <t>RHH5D97</t>
  </si>
  <si>
    <t>SEE2J86</t>
  </si>
  <si>
    <t>SEE0H97</t>
  </si>
  <si>
    <t>CAMERA</t>
  </si>
  <si>
    <t>SEE0I16</t>
  </si>
  <si>
    <t>RHG5D75</t>
  </si>
  <si>
    <t>SER6B09</t>
  </si>
  <si>
    <t>ARAUCARIA X PRES. PRUD.</t>
  </si>
  <si>
    <t>BDQ4E30</t>
  </si>
  <si>
    <t>BDQ4E29</t>
  </si>
  <si>
    <t>SED7D20</t>
  </si>
  <si>
    <t>BEZ9A98</t>
  </si>
  <si>
    <t>BDQ4E19</t>
  </si>
  <si>
    <t>BBM5I45</t>
  </si>
  <si>
    <t>SER3G75</t>
  </si>
  <si>
    <t>BAX9A94</t>
  </si>
  <si>
    <t>SEE2J90</t>
  </si>
  <si>
    <t>SEE2J87</t>
  </si>
  <si>
    <t>SEE0I05</t>
  </si>
  <si>
    <t>SEE0I13</t>
  </si>
  <si>
    <t>SEX2C75</t>
  </si>
  <si>
    <t>BDQ4E18</t>
  </si>
  <si>
    <t>TAW8B84</t>
  </si>
  <si>
    <t>TAW8C01</t>
  </si>
  <si>
    <t>RHH5C92</t>
  </si>
  <si>
    <t>TAW8C09</t>
  </si>
  <si>
    <t>ARAUCARIA X CASCAVEL</t>
  </si>
  <si>
    <t>SEY8B40</t>
  </si>
  <si>
    <t>BBM8G62</t>
  </si>
  <si>
    <t>TAW8B87</t>
  </si>
  <si>
    <t>SEY8B43</t>
  </si>
  <si>
    <t>BBL9D24</t>
  </si>
  <si>
    <t>BDQ4E32</t>
  </si>
  <si>
    <t>TAW8B80</t>
  </si>
  <si>
    <t>BDQ4E39</t>
  </si>
  <si>
    <t>BBM5I48</t>
  </si>
  <si>
    <t>BDQ4E53</t>
  </si>
  <si>
    <t>SEE3G48</t>
  </si>
  <si>
    <t>SFA7G28</t>
  </si>
  <si>
    <t>SFF3I82</t>
  </si>
  <si>
    <t>TAW2A61</t>
  </si>
  <si>
    <t>SCANIA/R 440 A6X2</t>
  </si>
  <si>
    <t>AWZ2403</t>
  </si>
  <si>
    <t>SFC5F71</t>
  </si>
  <si>
    <t>RHI3D46</t>
  </si>
  <si>
    <t>TAW8B90</t>
  </si>
  <si>
    <t>SFF3I83</t>
  </si>
  <si>
    <t>TAW8B89</t>
  </si>
  <si>
    <t>RHG5D74</t>
  </si>
  <si>
    <t>BDQ4E23</t>
  </si>
  <si>
    <t>SFC5G04</t>
  </si>
  <si>
    <t>SEE0I38</t>
  </si>
  <si>
    <t>SCANIA/R500 A6X4</t>
  </si>
  <si>
    <t>BDF9C15</t>
  </si>
  <si>
    <t>RHH5C90</t>
  </si>
  <si>
    <t>Rótulos de Linha</t>
  </si>
  <si>
    <t>Contagem de ROTA</t>
  </si>
  <si>
    <t>Soma de VALOR TOTAL</t>
  </si>
  <si>
    <t>PARANAGUA/LAPA</t>
  </si>
  <si>
    <t>SANTOS/PAULINIA</t>
  </si>
  <si>
    <t>CAMARGO/SAO JOSE DOS CAMPOS</t>
  </si>
  <si>
    <t>PARANAGUA/MUITOS CAPOES</t>
  </si>
  <si>
    <t>PARANAGUA/IJUI</t>
  </si>
  <si>
    <t>LAPA/PARANAGUA</t>
  </si>
  <si>
    <t>MUITOS CAPOES/ARAUCARIA</t>
  </si>
  <si>
    <t>JOACABA/CUBATAO</t>
  </si>
  <si>
    <t>SAO CARLOS DO IVAI/ARAUCARIA</t>
  </si>
  <si>
    <t>PARANAGUA/PASSO FUNDO</t>
  </si>
  <si>
    <t>JOACABA/PAULINIA</t>
  </si>
  <si>
    <t>COLORADO/CANOAS</t>
  </si>
  <si>
    <t>IJUI/PAULINIA</t>
  </si>
  <si>
    <t>NOVA INDEPENDENCIA/ARAUCARIA</t>
  </si>
  <si>
    <t>PARANAGUA/SARANDI</t>
  </si>
  <si>
    <t>PARANAGUA/LONDRINA</t>
  </si>
  <si>
    <t>PARANAGUA/MAFRA</t>
  </si>
  <si>
    <t>IJUI/CHAPECO</t>
  </si>
  <si>
    <t>PARANACITY/ITAJAI</t>
  </si>
  <si>
    <t>PARANAGUA/ORTIGUEIRA</t>
  </si>
  <si>
    <t>SANTOS/CIANORTE</t>
  </si>
  <si>
    <t>IACANGA/ARAUCARIA</t>
  </si>
  <si>
    <t>CAMARGO/ITAJAI</t>
  </si>
  <si>
    <t>CT-e COMPLEMENTAR</t>
  </si>
  <si>
    <t>Total Geral</t>
  </si>
  <si>
    <t>CHAVE CTe</t>
  </si>
  <si>
    <t>FILIAL EMITENTE</t>
  </si>
  <si>
    <t>DATA</t>
  </si>
  <si>
    <t>CTe</t>
  </si>
  <si>
    <t>NFs</t>
  </si>
  <si>
    <t>PLACAS</t>
  </si>
  <si>
    <t>ORIGEM</t>
  </si>
  <si>
    <t>UF ORIGEM</t>
  </si>
  <si>
    <t>DESTINO</t>
  </si>
  <si>
    <t>UF DESTINO</t>
  </si>
  <si>
    <t>TOMADOR</t>
  </si>
  <si>
    <t>REMETENTE</t>
  </si>
  <si>
    <t>EXPEDIDOR</t>
  </si>
  <si>
    <t>DESTINATÁRIO</t>
  </si>
  <si>
    <t>RECEBEDOR</t>
  </si>
  <si>
    <t>PRODUTO</t>
  </si>
  <si>
    <t>QUANTIDADE</t>
  </si>
  <si>
    <t>PESO</t>
  </si>
  <si>
    <t>VALOR TOTAL</t>
  </si>
  <si>
    <t>FRETE PESO</t>
  </si>
  <si>
    <t>PEDÁGIO</t>
  </si>
  <si>
    <t>ICMS</t>
  </si>
  <si>
    <t>ALÍQUOTA ICMS</t>
  </si>
  <si>
    <t>BASE CÁLCULO</t>
  </si>
  <si>
    <t>KM ROTA</t>
  </si>
  <si>
    <t>EMPRESA</t>
  </si>
  <si>
    <t>CAVALO</t>
  </si>
  <si>
    <t>41260425102812000179570030000007811071870131</t>
  </si>
  <si>
    <t>BWT ARAUCARIA - ARAUCARIA</t>
  </si>
  <si>
    <t>01/04/2026</t>
  </si>
  <si>
    <t>781</t>
  </si>
  <si>
    <t>1094443</t>
  </si>
  <si>
    <t>BDU5F20 - BDU5F25 - SEY8B43</t>
  </si>
  <si>
    <t>JOAQUIM RAIMUNDO PORTES JUNIOR</t>
  </si>
  <si>
    <t>PARANAGUA</t>
  </si>
  <si>
    <t>PR</t>
  </si>
  <si>
    <t>IJUI</t>
  </si>
  <si>
    <t>RS</t>
  </si>
  <si>
    <t>CAMERA AGROALIMENTOS S A</t>
  </si>
  <si>
    <t>CATTALINI TERMINAIS MARITIMOS S/A</t>
  </si>
  <si>
    <t>METANOL - ONU 1230</t>
  </si>
  <si>
    <t>41260425102812000179570030000007821994434323</t>
  </si>
  <si>
    <t>782</t>
  </si>
  <si>
    <t>1094454</t>
  </si>
  <si>
    <t>BDF9C15 - JCH2G41</t>
  </si>
  <si>
    <t>GUSTAVO ANTONIO NOGUEIRA</t>
  </si>
  <si>
    <t>LAPA</t>
  </si>
  <si>
    <t>POTENCIAL AGRO S/A - MATRIZ</t>
  </si>
  <si>
    <t>41260425102812000179570030000007831986410787</t>
  </si>
  <si>
    <t>783</t>
  </si>
  <si>
    <t>1094464</t>
  </si>
  <si>
    <t>BDQ4E29 - IZW8A03 - IZW8A02</t>
  </si>
  <si>
    <t>LUIZ CARLOS COELHO</t>
  </si>
  <si>
    <t>41260425102812000179570030000007881910591310</t>
  </si>
  <si>
    <t>788</t>
  </si>
  <si>
    <t>1094523</t>
  </si>
  <si>
    <t>SFF3I76 - JCP3I14 - JCP5G54</t>
  </si>
  <si>
    <t>JOSIANE DE FREITAS CABRAL</t>
  </si>
  <si>
    <t>41260425102812000179570030000007891751295078</t>
  </si>
  <si>
    <t>789</t>
  </si>
  <si>
    <t>1094543</t>
  </si>
  <si>
    <t>SED7C99 - RYD5E39 - RYD5E29</t>
  </si>
  <si>
    <t>WESLEY MILHOMEM DE SOUSA</t>
  </si>
  <si>
    <t>41260425102812000179570030000007901039058957</t>
  </si>
  <si>
    <t>790</t>
  </si>
  <si>
    <t>1094592</t>
  </si>
  <si>
    <t>BBQ6I94 - BBM8G62</t>
  </si>
  <si>
    <t>LUIZ GERVASIO STROPARO</t>
  </si>
  <si>
    <t>41260425102812000179570030000007911314509389</t>
  </si>
  <si>
    <t>791</t>
  </si>
  <si>
    <t>1094646</t>
  </si>
  <si>
    <t>JCI5E48 - AWZ2403</t>
  </si>
  <si>
    <t>JOAO GABRIEL DA CRUZ</t>
  </si>
  <si>
    <t>41260425102812000179570030000007861155759734</t>
  </si>
  <si>
    <t>786</t>
  </si>
  <si>
    <t>1160372 - 1160373</t>
  </si>
  <si>
    <t>JCV2H63 - TAW8B89 - JCV2H01</t>
  </si>
  <si>
    <t>AMAURI DOS SANTOS PEREIRA</t>
  </si>
  <si>
    <t>COLORADO</t>
  </si>
  <si>
    <t>CANOAS</t>
  </si>
  <si>
    <t>IPIRANGA PRODUTOS DE PETROLEO S/A</t>
  </si>
  <si>
    <t>USINA ALTO ALEGRE S.A - ACUCAR E AL</t>
  </si>
  <si>
    <t>Etanol Anidro</t>
  </si>
  <si>
    <t>41260425102812000179570030000007871097679700</t>
  </si>
  <si>
    <t>787</t>
  </si>
  <si>
    <t>1160384</t>
  </si>
  <si>
    <t>JAS1A99 - JAS0J82 - SFA7G28</t>
  </si>
  <si>
    <t>EDUARDO RAFAEL BORGES</t>
  </si>
  <si>
    <t>35260425102812000500570030000002211294583682</t>
  </si>
  <si>
    <t>BWT TRANSPORTE E LOGISTICA S. A - PAULINIA</t>
  </si>
  <si>
    <t>221</t>
  </si>
  <si>
    <t>117247</t>
  </si>
  <si>
    <t>SEE0I38 - JBW6D87 - JBW6D88</t>
  </si>
  <si>
    <t>FELIPE NUNES</t>
  </si>
  <si>
    <t>NOVA INDEPENDENCIA</t>
  </si>
  <si>
    <t>SP</t>
  </si>
  <si>
    <t>ARAUCARIA</t>
  </si>
  <si>
    <t>Cooperativa Prod de Cana-de-AA A ca A A car e</t>
  </si>
  <si>
    <t>43260425102812000250570030000002421011066038</t>
  </si>
  <si>
    <t>BWT TRANSPORTE E LOGISTICA S. A - ESTEIO</t>
  </si>
  <si>
    <t>242</t>
  </si>
  <si>
    <t>86696</t>
  </si>
  <si>
    <t>SEE3G48 - JBT6B10 - JBT6B27</t>
  </si>
  <si>
    <t>RAFAEL SOUZA MIRANDA</t>
  </si>
  <si>
    <t>CAMARGO</t>
  </si>
  <si>
    <t>ITAJAI</t>
  </si>
  <si>
    <t>SC</t>
  </si>
  <si>
    <t>IPIRANGA PRODUTOS DE PETROLEO S.A</t>
  </si>
  <si>
    <t>FUGA S.A</t>
  </si>
  <si>
    <t>Biodiesel - B100</t>
  </si>
  <si>
    <t>43260425102812000250570030000002431986819908</t>
  </si>
  <si>
    <t>02/04/2026</t>
  </si>
  <si>
    <t>243</t>
  </si>
  <si>
    <t>101064</t>
  </si>
  <si>
    <t>SEE2J88 - RYF2J50 - RYF2J80</t>
  </si>
  <si>
    <t>MARCOS AURELIO NOGUEIRA</t>
  </si>
  <si>
    <t>CHAPECO</t>
  </si>
  <si>
    <t>IPIRANGA PRODUTOS DE PETROLEO S.A.</t>
  </si>
  <si>
    <t>TRES TENTOS AGROINDUSTRIAL S/A</t>
  </si>
  <si>
    <t>41260425102812000179570030000007921843806643</t>
  </si>
  <si>
    <t>792</t>
  </si>
  <si>
    <t>1094764</t>
  </si>
  <si>
    <t>41260425102812000179570030000007941740369970</t>
  </si>
  <si>
    <t>794</t>
  </si>
  <si>
    <t>1094904</t>
  </si>
  <si>
    <t>41260425102812000179570030000007951681978420</t>
  </si>
  <si>
    <t>795</t>
  </si>
  <si>
    <t>1094907</t>
  </si>
  <si>
    <t>41260425102812000179570030000007971561375005</t>
  </si>
  <si>
    <t>797</t>
  </si>
  <si>
    <t>1094918</t>
  </si>
  <si>
    <t>FERNANDO JOSE CARVALHO</t>
  </si>
  <si>
    <t>41260425102812000179570030000008001608697825</t>
  </si>
  <si>
    <t>800</t>
  </si>
  <si>
    <t>2694</t>
  </si>
  <si>
    <t>MUITOS CAPOES</t>
  </si>
  <si>
    <t>BOCCHI INDUSTRIA E COMERCIO DE CERE TDA</t>
  </si>
  <si>
    <t>BWI TRADING COMERCIAL IMPORTADORA E RTADORA LTDA</t>
  </si>
  <si>
    <t>35260425102812000500570030000002221953168362</t>
  </si>
  <si>
    <t>222</t>
  </si>
  <si>
    <t>30130</t>
  </si>
  <si>
    <t>TAW8C01 - RYF3A30 - RYF2J90</t>
  </si>
  <si>
    <t>ROBERTO RIVELINO CABRAL</t>
  </si>
  <si>
    <t>SANTOS</t>
  </si>
  <si>
    <t>PAULINIA</t>
  </si>
  <si>
    <t>ULTRACARGO LOGISTICA S.A</t>
  </si>
  <si>
    <t>Gasolina A</t>
  </si>
  <si>
    <t>35260425102812000500570030000002241867421432</t>
  </si>
  <si>
    <t>224</t>
  </si>
  <si>
    <t>30141</t>
  </si>
  <si>
    <t>JBT9E33 - SEE2J92 - JBT9E30</t>
  </si>
  <si>
    <t>SILAS DE LIMA</t>
  </si>
  <si>
    <t>35260425102812000500570030000002251350531823</t>
  </si>
  <si>
    <t>225</t>
  </si>
  <si>
    <t>30161</t>
  </si>
  <si>
    <t>JCW7D75 - TAW8C09 - JCX7F40</t>
  </si>
  <si>
    <t>CLAIR SONAI</t>
  </si>
  <si>
    <t>35260425102812000500570030000002271876374885</t>
  </si>
  <si>
    <t>227</t>
  </si>
  <si>
    <t>30177</t>
  </si>
  <si>
    <t>AYP3139 - SEX2C73 - AYP3138</t>
  </si>
  <si>
    <t>MARIOVANY QUIRINO GOMES</t>
  </si>
  <si>
    <t>35260425102812000500570030000002281305142289</t>
  </si>
  <si>
    <t>228</t>
  </si>
  <si>
    <t>30197</t>
  </si>
  <si>
    <t>SEE0I13 - RYG6E81 - RYG6F31</t>
  </si>
  <si>
    <t>ALAOR BATISTA DE FREITAS</t>
  </si>
  <si>
    <t>35260425102812000500570030000002291341401032</t>
  </si>
  <si>
    <t>229</t>
  </si>
  <si>
    <t>30198</t>
  </si>
  <si>
    <t>JBT6B33 - BDQ4E30</t>
  </si>
  <si>
    <t>NEY CESAR WANDERLINDE LEINEKER</t>
  </si>
  <si>
    <t>35260425102812000500570030000002301974589547</t>
  </si>
  <si>
    <t>230</t>
  </si>
  <si>
    <t>30203</t>
  </si>
  <si>
    <t>BBM5I45 - BBQ6I95</t>
  </si>
  <si>
    <t>VLADEMIR JORGE SANTOS</t>
  </si>
  <si>
    <t>35260425102812000500570030000002311869894480</t>
  </si>
  <si>
    <t>231</t>
  </si>
  <si>
    <t>30207</t>
  </si>
  <si>
    <t>JCI7B71 - BAX9A94</t>
  </si>
  <si>
    <t>FRANCISCO ADEMIR MORO JUNIOR</t>
  </si>
  <si>
    <t>41260425102812000179570030000007981828867258</t>
  </si>
  <si>
    <t>798</t>
  </si>
  <si>
    <t>327582</t>
  </si>
  <si>
    <t>JCW7C11 - JCW7D87 - TAW2A61</t>
  </si>
  <si>
    <t>ALCIONE DE CASTRO</t>
  </si>
  <si>
    <t>SAO CARLOS DO IVAI</t>
  </si>
  <si>
    <t>COOPERATIVA AGRICOLA REGIONAL DE PR RES DE CAN</t>
  </si>
  <si>
    <t>41260425102812000179570030000007991523361048</t>
  </si>
  <si>
    <t>799</t>
  </si>
  <si>
    <t>327587</t>
  </si>
  <si>
    <t>JAO3A97 - SFC5F71 - JAO3A88</t>
  </si>
  <si>
    <t>RENATO GASPARELLO</t>
  </si>
  <si>
    <t>43260425102812000250570030000002501559917748</t>
  </si>
  <si>
    <t>250</t>
  </si>
  <si>
    <t>39287</t>
  </si>
  <si>
    <t>SFF3I82 - JCO4B49 - JCO4B32</t>
  </si>
  <si>
    <t>ANDRIELIA APARECIDA GOMES</t>
  </si>
  <si>
    <t>ROYAL FIC DISTRIBUIDORA DE DERIVADO OLEO S/A</t>
  </si>
  <si>
    <t>43260425102812000250570030000002511709798290</t>
  </si>
  <si>
    <t>251</t>
  </si>
  <si>
    <t>39288</t>
  </si>
  <si>
    <t>JAS4J43 - JAS4J59 - RHI3D46</t>
  </si>
  <si>
    <t>ELENILDO GOMES DA SILVA</t>
  </si>
  <si>
    <t>43260425102812000250570030000002471825087432</t>
  </si>
  <si>
    <t>247</t>
  </si>
  <si>
    <t>86743</t>
  </si>
  <si>
    <t>RHG5D74 - JAO8A83 - JAO8A77</t>
  </si>
  <si>
    <t>CLAUDINIR RODRIGUES GARCIA</t>
  </si>
  <si>
    <t>SAO JOSE DOS CAMPOS</t>
  </si>
  <si>
    <t>VIBRA ENERGIA SA</t>
  </si>
  <si>
    <t>43260425102812000250570030000002461954966869</t>
  </si>
  <si>
    <t>246</t>
  </si>
  <si>
    <t>86744</t>
  </si>
  <si>
    <t>SFF3I83 - JCO8H43 - JCO8H36</t>
  </si>
  <si>
    <t>WALDECIR JOSE XAVIER</t>
  </si>
  <si>
    <t>43260425102812000250570030000002481326650228</t>
  </si>
  <si>
    <t>248</t>
  </si>
  <si>
    <t>86750</t>
  </si>
  <si>
    <t>JAZ8G73 - JAZ8G81 - RHH5C90</t>
  </si>
  <si>
    <t>ANTONIO HENRIQUE DE SOUZA</t>
  </si>
  <si>
    <t>43260425102812000250570030000002491425284286</t>
  </si>
  <si>
    <t>249</t>
  </si>
  <si>
    <t>86751</t>
  </si>
  <si>
    <t>SFC5G04 - JAU3A45 - JAU3A29</t>
  </si>
  <si>
    <t>JONATAN MODESTO</t>
  </si>
  <si>
    <t>41260425102812000179570030000008041262212631</t>
  </si>
  <si>
    <t>03/04/2026</t>
  </si>
  <si>
    <t>804</t>
  </si>
  <si>
    <t>1095147</t>
  </si>
  <si>
    <t>41260425102812000179570030000008051069089685</t>
  </si>
  <si>
    <t>805</t>
  </si>
  <si>
    <t>1095213</t>
  </si>
  <si>
    <t>WERNER DUCK</t>
  </si>
  <si>
    <t>41260425102812000179570030000008061867953597</t>
  </si>
  <si>
    <t>806</t>
  </si>
  <si>
    <t>1095255</t>
  </si>
  <si>
    <t>BAH3I06 - BDQ4E23 - BAH3I07</t>
  </si>
  <si>
    <t>DANIEL ANTONIO DOS SANTOS JUNIOR</t>
  </si>
  <si>
    <t>41260425102812000179570030000008031673837131</t>
  </si>
  <si>
    <t>803</t>
  </si>
  <si>
    <t>2695 - 2693</t>
  </si>
  <si>
    <t>SED7D07 - RXU1C90 - RXU1D30</t>
  </si>
  <si>
    <t>CLAUDINOR CAMPARIM</t>
  </si>
  <si>
    <t>35260425102812000500570030000002321200284957</t>
  </si>
  <si>
    <t>232</t>
  </si>
  <si>
    <t>30222</t>
  </si>
  <si>
    <t>JAV7E00 - SEX2C75 - JAV7E07</t>
  </si>
  <si>
    <t>FRANCISCO JOSE ESTEVES</t>
  </si>
  <si>
    <t>35260425102812000500570030000002331121730382</t>
  </si>
  <si>
    <t>233</t>
  </si>
  <si>
    <t>30224</t>
  </si>
  <si>
    <t>SEE2J90 - RYG6E01 - RYG6D61</t>
  </si>
  <si>
    <t>VILSO DE OLIVEIRA COSTA</t>
  </si>
  <si>
    <t>35260425102812000500570030000002341316483322</t>
  </si>
  <si>
    <t>234</t>
  </si>
  <si>
    <t>30226</t>
  </si>
  <si>
    <t>35260425102812000500570030000002351180821237</t>
  </si>
  <si>
    <t>235</t>
  </si>
  <si>
    <t>30229</t>
  </si>
  <si>
    <t>JBU3A17 - JBU3A10 - SED7D20</t>
  </si>
  <si>
    <t>VALDEREZ MAINARDES</t>
  </si>
  <si>
    <t>35260425102812000500570030000002361371071876</t>
  </si>
  <si>
    <t>236</t>
  </si>
  <si>
    <t>30248</t>
  </si>
  <si>
    <t>JBU5G53 - SEE2J86 - JBU5H02</t>
  </si>
  <si>
    <t>SAMUEL CRUZ TORRES DE BRITO</t>
  </si>
  <si>
    <t>41260425102812000179570030000008121489223176</t>
  </si>
  <si>
    <t>04/04/2026</t>
  </si>
  <si>
    <t>812</t>
  </si>
  <si>
    <t>1095499</t>
  </si>
  <si>
    <t>41260425102812000179570030000008131732805730</t>
  </si>
  <si>
    <t>813</t>
  </si>
  <si>
    <t>1095513</t>
  </si>
  <si>
    <t>43260425102812000250570030000002521276221461</t>
  </si>
  <si>
    <t>252</t>
  </si>
  <si>
    <t>230480</t>
  </si>
  <si>
    <t>ROYAL FIC DISTRIBUIDORA DE DERIVADO PETROLEO S</t>
  </si>
  <si>
    <t>43260425102812000250570030000002531152702406</t>
  </si>
  <si>
    <t>253</t>
  </si>
  <si>
    <t>230482</t>
  </si>
  <si>
    <t>SEE2J87 - RYD5E09 - RYD5D89</t>
  </si>
  <si>
    <t>LUIZ CEZAR KELCZESKI</t>
  </si>
  <si>
    <t>41260425102812000179570030000008091189886905</t>
  </si>
  <si>
    <t>809</t>
  </si>
  <si>
    <t>2686 - 2687</t>
  </si>
  <si>
    <t>SEE0I16 - TLA5E54 - TIV7C08</t>
  </si>
  <si>
    <t>LEANDRO OLIVEIRA RODRIGUES</t>
  </si>
  <si>
    <t>MAFRA</t>
  </si>
  <si>
    <t>CPA TERMINAL PARANAGUA S.A</t>
  </si>
  <si>
    <t>SEARA ALIMENTOS LTDA</t>
  </si>
  <si>
    <t>METILATO DE SODIO 30%</t>
  </si>
  <si>
    <t>35260425102812000500570030000002371988609570</t>
  </si>
  <si>
    <t>237</t>
  </si>
  <si>
    <t>30331</t>
  </si>
  <si>
    <t>BDV9E57 - BDV9E56 - SEE0I05</t>
  </si>
  <si>
    <t>RODRIGO DOS SANTOS ALVES</t>
  </si>
  <si>
    <t>35260425102812000500570030000002381821059531</t>
  </si>
  <si>
    <t>238</t>
  </si>
  <si>
    <t>30359</t>
  </si>
  <si>
    <t>JCM1E27 - SFC5F45</t>
  </si>
  <si>
    <t>EMERSON MENON CUNHA</t>
  </si>
  <si>
    <t>35260425102812000500570030000002391313890608</t>
  </si>
  <si>
    <t>239</t>
  </si>
  <si>
    <t>30385</t>
  </si>
  <si>
    <t>JAP8F48 - SFA7F70 - JAP8F56</t>
  </si>
  <si>
    <t>PAULO ROBERTO EVANGELISTA SOARES</t>
  </si>
  <si>
    <t>35260425102812000500570030000002401667023585</t>
  </si>
  <si>
    <t>240</t>
  </si>
  <si>
    <t>30391</t>
  </si>
  <si>
    <t>JDJ2B32 - JDJ2B43 - TAW8B84</t>
  </si>
  <si>
    <t>EDENIR MALOSTI PEREIRA</t>
  </si>
  <si>
    <t>35260425102812000500570030000002421806628000</t>
  </si>
  <si>
    <t>30407</t>
  </si>
  <si>
    <t>AGEO NORTE TERMINAIS E ARMAZENS GER A</t>
  </si>
  <si>
    <t>35260425102812000500570030000002431445445612</t>
  </si>
  <si>
    <t>30452</t>
  </si>
  <si>
    <t>35260425102812000500570030000002441035880979</t>
  </si>
  <si>
    <t>244</t>
  </si>
  <si>
    <t>30467</t>
  </si>
  <si>
    <t>41260425102812000179570030000008071972050922</t>
  </si>
  <si>
    <t>807</t>
  </si>
  <si>
    <t>327592</t>
  </si>
  <si>
    <t>BBM6H26 - BBM6H25 - RHH5D97</t>
  </si>
  <si>
    <t>MARIO SERGIO DOS SANTOS ANDREOLA</t>
  </si>
  <si>
    <t>41260425102812000179570030000008081268485353</t>
  </si>
  <si>
    <t>808</t>
  </si>
  <si>
    <t>327594</t>
  </si>
  <si>
    <t>BBM6H24 - BBM6H15 - BDQ4E18</t>
  </si>
  <si>
    <t>DANIEL EUFRAZIO</t>
  </si>
  <si>
    <t>42260425102812000330570030000000261154988701</t>
  </si>
  <si>
    <t>BWT TRANSPORTE E LOGISTICA S. A - ITAJAI</t>
  </si>
  <si>
    <t>26</t>
  </si>
  <si>
    <t>411703</t>
  </si>
  <si>
    <t>TAW8B87 - JDJ0B76 - JDJ0B57</t>
  </si>
  <si>
    <t>VITOR RAFAEL PEDROZO</t>
  </si>
  <si>
    <t>JOACABA</t>
  </si>
  <si>
    <t>CUBATAO</t>
  </si>
  <si>
    <t>VIBRA ENERGIA S.A - FILIAL 100</t>
  </si>
  <si>
    <t>ADM DO BRASIL LTDA</t>
  </si>
  <si>
    <t>42260425102812000330570030000000271528564597</t>
  </si>
  <si>
    <t>27</t>
  </si>
  <si>
    <t>411706</t>
  </si>
  <si>
    <t>BDV9E54 - BDV9E55 - SEY8B40</t>
  </si>
  <si>
    <t>ALEX DE OLIVEIRA RODRIGUES</t>
  </si>
  <si>
    <t>41260425102812000179570030000008101167672970</t>
  </si>
  <si>
    <t>810</t>
  </si>
  <si>
    <t>79325</t>
  </si>
  <si>
    <t>BDQ4E32 - IZW6J87 - IZW6J99</t>
  </si>
  <si>
    <t>OSVALDIR RIBEIRO PINTO</t>
  </si>
  <si>
    <t>Diesel S500 A</t>
  </si>
  <si>
    <t>41260425102812000179570030000008111444890672</t>
  </si>
  <si>
    <t>811</t>
  </si>
  <si>
    <t>79332</t>
  </si>
  <si>
    <t>TAW8B80 - JCV2H32 - JCV8B29</t>
  </si>
  <si>
    <t>LAURO LORETO TEIXEIRA</t>
  </si>
  <si>
    <t>35260425102812000500570030000002451028456773</t>
  </si>
  <si>
    <t>05/04/2026</t>
  </si>
  <si>
    <t>245</t>
  </si>
  <si>
    <t>30482</t>
  </si>
  <si>
    <t>Diesel S10 A</t>
  </si>
  <si>
    <t>35260425102812000500570030000002471331650810</t>
  </si>
  <si>
    <t>30487</t>
  </si>
  <si>
    <t>35260425102812000500570030000002481245383695</t>
  </si>
  <si>
    <t>30503</t>
  </si>
  <si>
    <t>35260425102812000500570030000002491346437631</t>
  </si>
  <si>
    <t>30504</t>
  </si>
  <si>
    <t>JCW7D75 - JCX7F40 - TAW8C09</t>
  </si>
  <si>
    <t>35260425102812000500570030000002501849438230</t>
  </si>
  <si>
    <t>30509</t>
  </si>
  <si>
    <t>35260425102812000500570030000002511211851020</t>
  </si>
  <si>
    <t>30510</t>
  </si>
  <si>
    <t>35260425102812000500570030000002531781474297</t>
  </si>
  <si>
    <t>30516</t>
  </si>
  <si>
    <t>35260425102812000500570030000002521933463180</t>
  </si>
  <si>
    <t>30517</t>
  </si>
  <si>
    <t>35260425102812000500570030000002541774528546</t>
  </si>
  <si>
    <t>254</t>
  </si>
  <si>
    <t>30524</t>
  </si>
  <si>
    <t>41260425102812000179570030000008141354487846</t>
  </si>
  <si>
    <t>814</t>
  </si>
  <si>
    <t>79373</t>
  </si>
  <si>
    <t>LONDRINA</t>
  </si>
  <si>
    <t>41260425102812000179570030000008161357257641</t>
  </si>
  <si>
    <t>06/04/2026</t>
  </si>
  <si>
    <t>816</t>
  </si>
  <si>
    <t>1095915</t>
  </si>
  <si>
    <t>41260425102812000179570030000008181206542554</t>
  </si>
  <si>
    <t>818</t>
  </si>
  <si>
    <t>1095999</t>
  </si>
  <si>
    <t>41260425102812000179570030000008211667124100</t>
  </si>
  <si>
    <t>821</t>
  </si>
  <si>
    <t>1096020</t>
  </si>
  <si>
    <t>41260425102812000179570030000008231496480670</t>
  </si>
  <si>
    <t>823</t>
  </si>
  <si>
    <t>1096031</t>
  </si>
  <si>
    <t>41260425102812000179570030000008241197313761</t>
  </si>
  <si>
    <t>824</t>
  </si>
  <si>
    <t>1096032</t>
  </si>
  <si>
    <t>41260425102812000179570030000008251720508604</t>
  </si>
  <si>
    <t>825</t>
  </si>
  <si>
    <t>1096037</t>
  </si>
  <si>
    <t>35260425102812000500570030000002561706558880</t>
  </si>
  <si>
    <t>256</t>
  </si>
  <si>
    <t>116975</t>
  </si>
  <si>
    <t>JBW0G71 - SEE0H97 - JBW0G65</t>
  </si>
  <si>
    <t>JOSE CLAUDIO DA CRUZ</t>
  </si>
  <si>
    <t>IACANGA</t>
  </si>
  <si>
    <t>41260425102812000179570030000008201797129415</t>
  </si>
  <si>
    <t>820</t>
  </si>
  <si>
    <t>2665</t>
  </si>
  <si>
    <t>41260425102812000179570030000008221761121230</t>
  </si>
  <si>
    <t>822</t>
  </si>
  <si>
    <t>2691</t>
  </si>
  <si>
    <t>41260425102812000179570030000008151468961277</t>
  </si>
  <si>
    <t>815</t>
  </si>
  <si>
    <t>2703</t>
  </si>
  <si>
    <t>ORTIGUEIRA</t>
  </si>
  <si>
    <t>KLABIN S.A.</t>
  </si>
  <si>
    <t>41260425102812000179570030000008191156750105</t>
  </si>
  <si>
    <t>819</t>
  </si>
  <si>
    <t>2709 - 2710</t>
  </si>
  <si>
    <t>41260425102812000179570030000008171300775306</t>
  </si>
  <si>
    <t>817</t>
  </si>
  <si>
    <t>278422</t>
  </si>
  <si>
    <t>RYG6B41 - RYG6D01 - SED7D05</t>
  </si>
  <si>
    <t>JOEL RODYCZ</t>
  </si>
  <si>
    <t>PARANACITY</t>
  </si>
  <si>
    <t>USINA DE ACUCAR SANTA TEREZINHA LTD</t>
  </si>
  <si>
    <t>Etanol Hidratado</t>
  </si>
  <si>
    <t>35260425102812000500570030000002551664915020</t>
  </si>
  <si>
    <t>255</t>
  </si>
  <si>
    <t>30550</t>
  </si>
  <si>
    <t>35260425102812000500570030000002571012757966</t>
  </si>
  <si>
    <t>257</t>
  </si>
  <si>
    <t>30585</t>
  </si>
  <si>
    <t>35260425102812000500570030000002581469490165</t>
  </si>
  <si>
    <t>258</t>
  </si>
  <si>
    <t>30615</t>
  </si>
  <si>
    <t>41260425102812000179570030000008261880798667</t>
  </si>
  <si>
    <t>826</t>
  </si>
  <si>
    <t>79450</t>
  </si>
  <si>
    <t>PASSO FUNDO</t>
  </si>
  <si>
    <t>35260325102812000500570030000001631023134220</t>
  </si>
  <si>
    <t>07/04/2026</t>
  </si>
  <si>
    <t>259</t>
  </si>
  <si>
    <t>35260325102812000500570030000001651564818518</t>
  </si>
  <si>
    <t>261</t>
  </si>
  <si>
    <t>BDU5F24 - BDU5F23 - SER6B09</t>
  </si>
  <si>
    <t>RICARDO FERREIRA DOS SANTOS</t>
  </si>
  <si>
    <t>35260325102812000500570030000001851149565162</t>
  </si>
  <si>
    <t>263</t>
  </si>
  <si>
    <t>BBD0E82 - BBD0E81 - RHH5C95</t>
  </si>
  <si>
    <t>REINALDO FERNEDA</t>
  </si>
  <si>
    <t>COOPERATIVA DE PRODUTORES DE CANA-D ACUCAR, ACUCAR E ALCOOL</t>
  </si>
  <si>
    <t>35260325102812000500570030000001911495688835</t>
  </si>
  <si>
    <t>262</t>
  </si>
  <si>
    <t>35260425102812000500570030000002641315020603</t>
  </si>
  <si>
    <t>264</t>
  </si>
  <si>
    <t>30683</t>
  </si>
  <si>
    <t>VOPAK BRASIL S.A.</t>
  </si>
  <si>
    <t>35260425102812000500570030000002651188808972</t>
  </si>
  <si>
    <t>265</t>
  </si>
  <si>
    <t>774291</t>
  </si>
  <si>
    <t>BBM8G18 - RHH5C92 - BBM8G17</t>
  </si>
  <si>
    <t>CLAUDEMIR SOARES</t>
  </si>
  <si>
    <t>CIANORTE</t>
  </si>
  <si>
    <t>CIAPETRO DISTRIBUIDORA DE COMBUSTIV TDA</t>
  </si>
  <si>
    <t>Stolthaven Santos Ltda.</t>
  </si>
  <si>
    <t>42719.07</t>
  </si>
  <si>
    <t>35260425102812000500570030000002661046824649</t>
  </si>
  <si>
    <t>266</t>
  </si>
  <si>
    <t>30697</t>
  </si>
  <si>
    <t>35260425102812000500570030000002671174983208</t>
  </si>
  <si>
    <t>267</t>
  </si>
  <si>
    <t>30708</t>
  </si>
  <si>
    <t>35260425102812000500570030000002681273526481</t>
  </si>
  <si>
    <t>268</t>
  </si>
  <si>
    <t>30721</t>
  </si>
  <si>
    <t>35260425102812000500570030000002691014474989</t>
  </si>
  <si>
    <t>269</t>
  </si>
  <si>
    <t>30722</t>
  </si>
  <si>
    <t>41260325102812000179570030000004651999730485</t>
  </si>
  <si>
    <t>828</t>
  </si>
  <si>
    <t>41260325102812000179570030000005691492954650</t>
  </si>
  <si>
    <t>829</t>
  </si>
  <si>
    <t>41260425102812000179570030000008271018522559</t>
  </si>
  <si>
    <t>827</t>
  </si>
  <si>
    <t>79457</t>
  </si>
  <si>
    <t>TAW8B90 - JDJ6D53 - JDJ6D33</t>
  </si>
  <si>
    <t>DEIZE CRISTINA WEILER</t>
  </si>
  <si>
    <t>41260425102812000179570030000008301053726381</t>
  </si>
  <si>
    <t>830</t>
  </si>
  <si>
    <t>79476</t>
  </si>
  <si>
    <t>41260425102812000179570030000008311049835446</t>
  </si>
  <si>
    <t>831</t>
  </si>
  <si>
    <t>1096319</t>
  </si>
  <si>
    <t>41260425102812000179570030000008321960182767</t>
  </si>
  <si>
    <t>832</t>
  </si>
  <si>
    <t>1096309</t>
  </si>
  <si>
    <t>41260425102812000179570030000008331304322652</t>
  </si>
  <si>
    <t>833</t>
  </si>
  <si>
    <t>327775</t>
  </si>
  <si>
    <t>41260425102812000179570030000008341193995759</t>
  </si>
  <si>
    <t>834</t>
  </si>
  <si>
    <t>1096383</t>
  </si>
  <si>
    <t>ANTONIO MARCOS GONCALVES</t>
  </si>
  <si>
    <t>41260425102812000179570030000008351305014727</t>
  </si>
  <si>
    <t>835</t>
  </si>
  <si>
    <t>17393</t>
  </si>
  <si>
    <t>LAUDEMAR JOSE ALVES DOS SANTOS</t>
  </si>
  <si>
    <t>HELM DO BRASIL MERCANTIL LTDA</t>
  </si>
  <si>
    <t>41260425102812000179570030000008361841922430</t>
  </si>
  <si>
    <t>836</t>
  </si>
  <si>
    <t>303700</t>
  </si>
  <si>
    <t>SDY1G85 - RHW8I46 - RHW8I43</t>
  </si>
  <si>
    <t>DENILSON NUNES CORDEIRO</t>
  </si>
  <si>
    <t>TCP - TERMINAL DE CONTEINERES DE PA</t>
  </si>
  <si>
    <t>GLICERINA REFINADA</t>
  </si>
  <si>
    <t>41260425102812000179570030000008371065727753</t>
  </si>
  <si>
    <t>837</t>
  </si>
  <si>
    <t>327817</t>
  </si>
  <si>
    <t>41260425102812000179570030000008381494931848</t>
  </si>
  <si>
    <t>838</t>
  </si>
  <si>
    <t>303706</t>
  </si>
  <si>
    <t>SST4A84 - RHG5D75 - SWD0J05</t>
  </si>
  <si>
    <t>41260425102812000179570030000008391108779622</t>
  </si>
  <si>
    <t>839</t>
  </si>
  <si>
    <t>303708</t>
  </si>
  <si>
    <t>LEANDRO CESAR VIEIRA DE OLIVEIRA</t>
  </si>
  <si>
    <t>41260425102812000179570030000008401460530601</t>
  </si>
  <si>
    <t>840</t>
  </si>
  <si>
    <t>303709</t>
  </si>
  <si>
    <t>TLA1D72 - TIT0I53 - BEZ9A98</t>
  </si>
  <si>
    <t>ISACC SANTOS GUEDES</t>
  </si>
  <si>
    <t>41260425102812000179570030000008411462824316</t>
  </si>
  <si>
    <t>841</t>
  </si>
  <si>
    <t>303711</t>
  </si>
  <si>
    <t>UFF5H53 - BBM5799</t>
  </si>
  <si>
    <t>CLODOALDO SANTIAGO</t>
  </si>
  <si>
    <t>41260425102812000179570030000008421873482211</t>
  </si>
  <si>
    <t>842</t>
  </si>
  <si>
    <t>303701</t>
  </si>
  <si>
    <t>JOSE ARIMATEIA DA SILVA</t>
  </si>
  <si>
    <t>41260425102812000179570030000008431743915697</t>
  </si>
  <si>
    <t>843</t>
  </si>
  <si>
    <t>303717</t>
  </si>
  <si>
    <t>41260425102812000179570030000008441731363500</t>
  </si>
  <si>
    <t>844</t>
  </si>
  <si>
    <t>303719</t>
  </si>
  <si>
    <t>41260425102812000179570030000008451345243120</t>
  </si>
  <si>
    <t>845</t>
  </si>
  <si>
    <t>303721</t>
  </si>
  <si>
    <t>41260425102812000179570030000008461438915923</t>
  </si>
  <si>
    <t>846</t>
  </si>
  <si>
    <t>303712</t>
  </si>
  <si>
    <t>41260425102812000179570030000008471354564914</t>
  </si>
  <si>
    <t>847</t>
  </si>
  <si>
    <t>1096412</t>
  </si>
  <si>
    <t>41260425102812000179570030000008481003819780</t>
  </si>
  <si>
    <t>848</t>
  </si>
  <si>
    <t>1096405</t>
  </si>
  <si>
    <t>42260425102812000330570030000000281116361262</t>
  </si>
  <si>
    <t>28</t>
  </si>
  <si>
    <t>411845 - 411846</t>
  </si>
  <si>
    <t>JCS3D69 - SFE2D68 - JCS3D64</t>
  </si>
  <si>
    <t>MARCELO MARTINS GONCALVES</t>
  </si>
  <si>
    <t>VIBRA ENERGIA S.A - FILIAL 64</t>
  </si>
  <si>
    <t>52359.99</t>
  </si>
  <si>
    <t>42260425102812000330570030000000291632984330</t>
  </si>
  <si>
    <t>29</t>
  </si>
  <si>
    <t>411910</t>
  </si>
  <si>
    <t>43260325102812000250570030000001801876449531</t>
  </si>
  <si>
    <t>43260325102812000250570030000001861378367979</t>
  </si>
  <si>
    <t>43260325102812000250570030000001901110238498</t>
  </si>
  <si>
    <t>43260325102812000250570030000002121820429166</t>
  </si>
  <si>
    <t>BBD0E79 - BDQ4E19 - BBD0E78</t>
  </si>
  <si>
    <t>ADRIANO DAGNON</t>
  </si>
  <si>
    <t>BE8 S.A.</t>
  </si>
  <si>
    <t>43260425102812000250570030000002581051623566</t>
  </si>
  <si>
    <t>39329 - 39328</t>
  </si>
  <si>
    <t>43260425102812000250570030000002591985112665</t>
  </si>
  <si>
    <t>39331</t>
  </si>
  <si>
    <t>35260425102812000500570030000002861031728943</t>
  </si>
  <si>
    <t>08/04/2026</t>
  </si>
  <si>
    <t>286</t>
  </si>
  <si>
    <t>30853</t>
  </si>
  <si>
    <t>35260425102812000500570030000002871231898122</t>
  </si>
  <si>
    <t>287</t>
  </si>
  <si>
    <t>30864</t>
  </si>
  <si>
    <t>35260425102812000500570030000002881613886465</t>
  </si>
  <si>
    <t>288</t>
  </si>
  <si>
    <t>30870</t>
  </si>
  <si>
    <t>35260425102812000500570030000002891753429641</t>
  </si>
  <si>
    <t>289</t>
  </si>
  <si>
    <t>1463769</t>
  </si>
  <si>
    <t>BAURU</t>
  </si>
  <si>
    <t>VIBRA ENERGIA S.A - FILIAL 162</t>
  </si>
  <si>
    <t>41260425102812000179570030000008491990277704</t>
  </si>
  <si>
    <t>849</t>
  </si>
  <si>
    <t>1096539</t>
  </si>
  <si>
    <t>41260425102812000179570030000008501926298683</t>
  </si>
  <si>
    <t>850</t>
  </si>
  <si>
    <t>327921</t>
  </si>
  <si>
    <t>JCP3H51 - SFF3I78 - JCQ0C24</t>
  </si>
  <si>
    <t>ERIC RENE PIOVAN</t>
  </si>
  <si>
    <t>41260425102812000179570030000008511772538636</t>
  </si>
  <si>
    <t>851</t>
  </si>
  <si>
    <t>17397</t>
  </si>
  <si>
    <t>41260425102812000179570030000008521414644358</t>
  </si>
  <si>
    <t>852</t>
  </si>
  <si>
    <t>1096704</t>
  </si>
  <si>
    <t>41260425102812000179570030000008531106787139</t>
  </si>
  <si>
    <t>853</t>
  </si>
  <si>
    <t>1096725</t>
  </si>
  <si>
    <t>41260425102812000179570030000008541187156840</t>
  </si>
  <si>
    <t>854</t>
  </si>
  <si>
    <t>1096769</t>
  </si>
  <si>
    <t>41260425102812000179570030000008551585196408</t>
  </si>
  <si>
    <t>855</t>
  </si>
  <si>
    <t>303787</t>
  </si>
  <si>
    <t>PETROLEO BRASILEIRO S.A. PETROBRAS IAL 643</t>
  </si>
  <si>
    <t>41260425102812000179570030000008561495618491</t>
  </si>
  <si>
    <t>856</t>
  </si>
  <si>
    <t>303802</t>
  </si>
  <si>
    <t>41260425102812000179570030000008571997060478</t>
  </si>
  <si>
    <t>857</t>
  </si>
  <si>
    <t>303788</t>
  </si>
  <si>
    <t>41260425102812000179570030000008581940397241</t>
  </si>
  <si>
    <t>858</t>
  </si>
  <si>
    <t>1096810</t>
  </si>
  <si>
    <t>JCK0D21 - BAQ4362</t>
  </si>
  <si>
    <t>41260425102812000179570030000008591893423382</t>
  </si>
  <si>
    <t>859</t>
  </si>
  <si>
    <t>303804</t>
  </si>
  <si>
    <t>41260425102812000179570030000008601651857047</t>
  </si>
  <si>
    <t>860</t>
  </si>
  <si>
    <t>303807</t>
  </si>
  <si>
    <t>41260425102812000179570030000008611794628197</t>
  </si>
  <si>
    <t>861</t>
  </si>
  <si>
    <t>303806</t>
  </si>
  <si>
    <t>41260425102812000179570030000008621017765325</t>
  </si>
  <si>
    <t>862</t>
  </si>
  <si>
    <t>303808</t>
  </si>
  <si>
    <t>43260325102812000250570030000002151632698637</t>
  </si>
  <si>
    <t>43260425102812000250570030000002601834215784</t>
  </si>
  <si>
    <t>260</t>
  </si>
  <si>
    <t>86836</t>
  </si>
  <si>
    <t>BARUERI</t>
  </si>
  <si>
    <t>VIBRA ENERGIA S.A - FILIAL 63</t>
  </si>
  <si>
    <t>43260425102812000250570030000002621932283410</t>
  </si>
  <si>
    <t>101236</t>
  </si>
  <si>
    <t>43260425102812000250570030000002631589392943</t>
  </si>
  <si>
    <t>86866</t>
  </si>
  <si>
    <t>CLAYTON NUNES DO NASCIMENTO</t>
  </si>
  <si>
    <t>50260325102812000683570030000000051502799154</t>
  </si>
  <si>
    <t>BWT TRANSPORTE E LOGISTICA S. A - NOVA ANDRADINA</t>
  </si>
  <si>
    <t>8</t>
  </si>
  <si>
    <t>MS</t>
  </si>
  <si>
    <t>ADECOAGRO VALE DO IVINHEMA S.A</t>
  </si>
  <si>
    <t>35260425102812000500570030000002901658484232</t>
  </si>
  <si>
    <t>09/04/2026</t>
  </si>
  <si>
    <t>290</t>
  </si>
  <si>
    <t>30876</t>
  </si>
  <si>
    <t>35260425102812000500570030000002911150554795</t>
  </si>
  <si>
    <t>291</t>
  </si>
  <si>
    <t>30939</t>
  </si>
  <si>
    <t>35260425102812000500570030000002921016100235</t>
  </si>
  <si>
    <t>292</t>
  </si>
  <si>
    <t>30970</t>
  </si>
  <si>
    <t>SEE2J86 - JBU5G53 - JBU5H02</t>
  </si>
  <si>
    <t>41260425102812000179570030000008631482754906</t>
  </si>
  <si>
    <t>863</t>
  </si>
  <si>
    <t>1096934</t>
  </si>
  <si>
    <t>41260425102812000179570030000008641962663480</t>
  </si>
  <si>
    <t>864</t>
  </si>
  <si>
    <t>1096974</t>
  </si>
  <si>
    <t>41260425102812000179570030000008661600755194</t>
  </si>
  <si>
    <t>866</t>
  </si>
  <si>
    <t>1097014</t>
  </si>
  <si>
    <t>41260425102812000179570030000008671816796660</t>
  </si>
  <si>
    <t>867</t>
  </si>
  <si>
    <t>1097084</t>
  </si>
  <si>
    <t>VERONICA FRIGHETTO</t>
  </si>
  <si>
    <t>41260425102812000179570030000008681214647310</t>
  </si>
  <si>
    <t>868</t>
  </si>
  <si>
    <t>1097150</t>
  </si>
  <si>
    <t>41260425102812000179570030000008691272193383</t>
  </si>
  <si>
    <t>869</t>
  </si>
  <si>
    <t>328007</t>
  </si>
  <si>
    <t>41260425102812000179570030000008701651822495</t>
  </si>
  <si>
    <t>870</t>
  </si>
  <si>
    <t>303877</t>
  </si>
  <si>
    <t>SEC1A91 - SEC1A89 - SDY1G87</t>
  </si>
  <si>
    <t>ISAAC DA SILVA MENDES</t>
  </si>
  <si>
    <t>41260425102812000179570030000008711570876690</t>
  </si>
  <si>
    <t>871</t>
  </si>
  <si>
    <t>303886</t>
  </si>
  <si>
    <t>41260425102812000179570030000008721971031230</t>
  </si>
  <si>
    <t>872</t>
  </si>
  <si>
    <t>2750 - 2749</t>
  </si>
  <si>
    <t>41260425102812000179570030000008731572384250</t>
  </si>
  <si>
    <t>873</t>
  </si>
  <si>
    <t>1097239</t>
  </si>
  <si>
    <t>42260425102812000330570030000000301863627088</t>
  </si>
  <si>
    <t>30</t>
  </si>
  <si>
    <t>412092</t>
  </si>
  <si>
    <t>43260425102812000250570030000002641401809997</t>
  </si>
  <si>
    <t>1094478 - 1094480</t>
  </si>
  <si>
    <t>43260425102812000250570030000002651960293477</t>
  </si>
  <si>
    <t>230632</t>
  </si>
  <si>
    <t>TAW2A61 - JCW7D87 - JCW7C11</t>
  </si>
  <si>
    <t>SAO PAULO</t>
  </si>
  <si>
    <t>VIBRA ENERGIA S.A - FILIAL 58</t>
  </si>
  <si>
    <t>43260425102812000250570030000002661707438010</t>
  </si>
  <si>
    <t>39367 - 39368</t>
  </si>
  <si>
    <t>RUFF CJ DISTRIBUIDORA DE PETROLEO L</t>
  </si>
  <si>
    <t>43260425102812000250570030000002671797641984</t>
  </si>
  <si>
    <t>230641</t>
  </si>
  <si>
    <t>35260425102812000500570030000002931953008464</t>
  </si>
  <si>
    <t>10/04/2026</t>
  </si>
  <si>
    <t>293</t>
  </si>
  <si>
    <t>30986</t>
  </si>
  <si>
    <t>TAW2A65 - JCW7C28 - JCX7F21</t>
  </si>
  <si>
    <t>35260425102812000500570030000002941438307314</t>
  </si>
  <si>
    <t>294</t>
  </si>
  <si>
    <t>30987</t>
  </si>
  <si>
    <t>35260425102812000500570030000002961752881391</t>
  </si>
  <si>
    <t>296</t>
  </si>
  <si>
    <t>30988</t>
  </si>
  <si>
    <t>35260425102812000500570030000002971203693151</t>
  </si>
  <si>
    <t>297</t>
  </si>
  <si>
    <t>201341</t>
  </si>
  <si>
    <t>NARANDIBA</t>
  </si>
  <si>
    <t>COOPERATIVA DE PRODUTORES DE CANA-D CAR, ACUCA</t>
  </si>
  <si>
    <t>35260425102812000500570030000002981621211915</t>
  </si>
  <si>
    <t>298</t>
  </si>
  <si>
    <t>31089</t>
  </si>
  <si>
    <t>PRESIDENTE PRUDENTE</t>
  </si>
  <si>
    <t>35260425102812000500570030000003001892481684</t>
  </si>
  <si>
    <t>11/04/2026</t>
  </si>
  <si>
    <t>300</t>
  </si>
  <si>
    <t>31104</t>
  </si>
  <si>
    <t>35260425102812000500570030000003011359392676</t>
  </si>
  <si>
    <t>301</t>
  </si>
  <si>
    <t>31107</t>
  </si>
  <si>
    <t>35260425102812000500570030000003021374179837</t>
  </si>
  <si>
    <t>302</t>
  </si>
  <si>
    <t>31123</t>
  </si>
  <si>
    <t>35260425102812000500570030000003031410219780</t>
  </si>
  <si>
    <t>303</t>
  </si>
  <si>
    <t>117732</t>
  </si>
  <si>
    <t>35260425102812000500570030000003041734881893</t>
  </si>
  <si>
    <t>304</t>
  </si>
  <si>
    <t>117734</t>
  </si>
  <si>
    <t>35260425102812000500570030000003051823240041</t>
  </si>
  <si>
    <t>305</t>
  </si>
  <si>
    <t>279079</t>
  </si>
  <si>
    <t>LUIS ANTONIO</t>
  </si>
  <si>
    <t>CENTRAL ENERGETICA MORENO ACUCAR E ALCOOL LTDA</t>
  </si>
  <si>
    <t>35260425102812000500570030000003061679417811</t>
  </si>
  <si>
    <t>306</t>
  </si>
  <si>
    <t>117739</t>
  </si>
  <si>
    <t>SFC5G04 - JAU3A29 - JAU3A45</t>
  </si>
  <si>
    <t>35260425102812000500570030000003071093291540</t>
  </si>
  <si>
    <t>307</t>
  </si>
  <si>
    <t>279080</t>
  </si>
  <si>
    <t>35260425102812000500570030000003081565336892</t>
  </si>
  <si>
    <t>308</t>
  </si>
  <si>
    <t>117758</t>
  </si>
  <si>
    <t>35260425102812000500570030000003091478652432</t>
  </si>
  <si>
    <t>309</t>
  </si>
  <si>
    <t>279081</t>
  </si>
  <si>
    <t>35260425102812000500570030000003101234598189</t>
  </si>
  <si>
    <t>310</t>
  </si>
  <si>
    <t>279082</t>
  </si>
  <si>
    <t>35260425102812000500570030000003111346395953</t>
  </si>
  <si>
    <t>311</t>
  </si>
  <si>
    <t>279083</t>
  </si>
  <si>
    <t>35260425102812000500570030000003121692758195</t>
  </si>
  <si>
    <t>312</t>
  </si>
  <si>
    <t>31194</t>
  </si>
  <si>
    <t>SER3G75 - BDW5I59 - BDW5I60</t>
  </si>
  <si>
    <t>WILSON CARNEIRO DA SILVA</t>
  </si>
  <si>
    <t>41260425102812000179570030000008741734173841</t>
  </si>
  <si>
    <t>874</t>
  </si>
  <si>
    <t>1097313</t>
  </si>
  <si>
    <t>41260425102812000179570030000008751497110563</t>
  </si>
  <si>
    <t>875</t>
  </si>
  <si>
    <t>17428</t>
  </si>
  <si>
    <t>41260425102812000179570030000008761950291460</t>
  </si>
  <si>
    <t>876</t>
  </si>
  <si>
    <t>1097391</t>
  </si>
  <si>
    <t>41260425102812000179570030000008771687127984</t>
  </si>
  <si>
    <t>877</t>
  </si>
  <si>
    <t>1097405</t>
  </si>
  <si>
    <t>41260425102812000179570030000008781521561916</t>
  </si>
  <si>
    <t>878</t>
  </si>
  <si>
    <t>303918</t>
  </si>
  <si>
    <t>41260425102812000179570030000008791720667282</t>
  </si>
  <si>
    <t>879</t>
  </si>
  <si>
    <t>17442</t>
  </si>
  <si>
    <t>41260425102812000179570030000008811597063351</t>
  </si>
  <si>
    <t>881</t>
  </si>
  <si>
    <t>303926</t>
  </si>
  <si>
    <t>41260425102812000179570030000008821003898827</t>
  </si>
  <si>
    <t>882</t>
  </si>
  <si>
    <t>1097549</t>
  </si>
  <si>
    <t>41260425102812000179570030000008831411153163</t>
  </si>
  <si>
    <t>883</t>
  </si>
  <si>
    <t>1097588</t>
  </si>
  <si>
    <t>41260425102812000179570030000008841234227221</t>
  </si>
  <si>
    <t>884</t>
  </si>
  <si>
    <t>1097626</t>
  </si>
  <si>
    <t>41260425102812000179570030000008851811306417</t>
  </si>
  <si>
    <t>885</t>
  </si>
  <si>
    <t>17455</t>
  </si>
  <si>
    <t>41260425102812000179570030000008861067098154</t>
  </si>
  <si>
    <t>886</t>
  </si>
  <si>
    <t>1097742</t>
  </si>
  <si>
    <t>41260425102812000179570030000008871069351261</t>
  </si>
  <si>
    <t>887</t>
  </si>
  <si>
    <t>1097750</t>
  </si>
  <si>
    <t>41260425102812000179570030000008881723144573</t>
  </si>
  <si>
    <t>888</t>
  </si>
  <si>
    <t>79698</t>
  </si>
  <si>
    <t>41260425102812000179570030000008891189532250</t>
  </si>
  <si>
    <t>889</t>
  </si>
  <si>
    <t>1097808</t>
  </si>
  <si>
    <t>BDQ4E39 - AYP3134 - AYP3135</t>
  </si>
  <si>
    <t>41260425102812000179570030000008901446204109</t>
  </si>
  <si>
    <t>890</t>
  </si>
  <si>
    <t>1097849</t>
  </si>
  <si>
    <t>BBM5I48 - JCK0C84</t>
  </si>
  <si>
    <t>41260425102812000179570030000008911321009936</t>
  </si>
  <si>
    <t>891</t>
  </si>
  <si>
    <t>1097868</t>
  </si>
  <si>
    <t>AWC0756 - BBL9D24</t>
  </si>
  <si>
    <t>41260425102812000179570030000008921973450844</t>
  </si>
  <si>
    <t>892</t>
  </si>
  <si>
    <t>1097887</t>
  </si>
  <si>
    <t>43260425102812000250570030000002681314264630</t>
  </si>
  <si>
    <t>39381</t>
  </si>
  <si>
    <t>43260425102812000250570030000002691437725021</t>
  </si>
  <si>
    <t>86909</t>
  </si>
  <si>
    <t>43260425102812000250570030000002701675731160</t>
  </si>
  <si>
    <t>270</t>
  </si>
  <si>
    <t>39403</t>
  </si>
  <si>
    <t>43260425102812000250570030000002711120880544</t>
  </si>
  <si>
    <t>271</t>
  </si>
  <si>
    <t>230684</t>
  </si>
  <si>
    <t>TRANSPORTADORA</t>
  </si>
  <si>
    <t>DATA_INICIAL</t>
  </si>
  <si>
    <t>DATA_FINAL</t>
  </si>
  <si>
    <t>VEICULO</t>
  </si>
  <si>
    <t>KM RODADO</t>
  </si>
  <si>
    <t>CONSUMO EM LITROS</t>
  </si>
  <si>
    <t>CONSUMO MEDIO</t>
  </si>
  <si>
    <t>HODOMETRO INICIAL</t>
  </si>
  <si>
    <t>HODOMETRO FINAL</t>
  </si>
  <si>
    <t>MOTOR LIGADO PARADO</t>
  </si>
  <si>
    <t>TEMPO FAIXA VERDE</t>
  </si>
  <si>
    <t>TEMPO FAIXA AZUL</t>
  </si>
  <si>
    <t>TEMPO FAIXA AMARELA</t>
  </si>
  <si>
    <t>TEMPO FAIXA VERMELHA</t>
  </si>
  <si>
    <t>Hodometro</t>
  </si>
  <si>
    <t>media</t>
  </si>
  <si>
    <t xml:space="preserve">BWT TRANSPORTE E LOGISTICA S.A - GRUPO POTENCIAL  </t>
  </si>
  <si>
    <t xml:space="preserve"> DANIEL EUFRAZIO - 245                                                                              </t>
  </si>
  <si>
    <t xml:space="preserve">FH 540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</si>
  <si>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ADRIANO DAGNON - 247                                                                                </t>
  </si>
  <si>
    <t xml:space="preserve">ALCIONE DE CASTRO - 180                                                                             </t>
  </si>
  <si>
    <t xml:space="preserve">FH 500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</si>
  <si>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ALEX DE OLIVEIRA RODRIGUES  - 50100                                                                 </t>
  </si>
  <si>
    <t xml:space="preserve">XF FTT 530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</si>
  <si>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AMAURI DOS SANTOS PEREIRA - 240                                                                     </t>
  </si>
  <si>
    <t xml:space="preserve">ANDRIELIA APARECIDA GOMES - 238                                                                     </t>
  </si>
  <si>
    <t xml:space="preserve">XF530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</si>
  <si>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ANTONIO HENRIQUE DE SOUZA -  50102                                                                  </t>
  </si>
  <si>
    <t xml:space="preserve">ANTONIO MARCOS GONCALVES - 90                                                                       </t>
  </si>
  <si>
    <t xml:space="preserve">R 440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</si>
  <si>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 440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</si>
  <si>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CLAIR SONAI - 67                                                                                    </t>
  </si>
  <si>
    <t xml:space="preserve">CLAUDEMIR SOARES - 252                                                                              </t>
  </si>
  <si>
    <t xml:space="preserve">CLAUDINIR RODRIGUES GARCIA - 186                                                                    </t>
  </si>
  <si>
    <t xml:space="preserve">CLODOALDO SANTIAGO - 10247                                                                          </t>
  </si>
  <si>
    <t xml:space="preserve">DANIEL ANTONIO DOS SANTOS JUNIOR - 224                                                              </t>
  </si>
  <si>
    <t xml:space="preserve">DEIZE CRISTINA WEILER - 10569                                                                       </t>
  </si>
  <si>
    <t xml:space="preserve">DJONATHAN DIEGO FAGUNDES MIRANDA - 963                                                              </t>
  </si>
  <si>
    <t>TAZ5C50</t>
  </si>
  <si>
    <t xml:space="preserve">ATEGO 3033CE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</si>
  <si>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</t>
  </si>
  <si>
    <t xml:space="preserve">EDENIR MALOSTI PEREIRA - 72                                                                         </t>
  </si>
  <si>
    <t xml:space="preserve">EDUARDO RAFAEL BORGES - 253                                                                         </t>
  </si>
  <si>
    <t xml:space="preserve">DAF CF 300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</si>
  <si>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ELENILDO GOMES DA SILVA - 10843                                                                     </t>
  </si>
  <si>
    <t xml:space="preserve">EMERSON MENON CUNHA - 128                                                                           </t>
  </si>
  <si>
    <t xml:space="preserve">ESTEVAO LEITE VARGAS - 7008                                                                         </t>
  </si>
  <si>
    <t>TAZ5E83</t>
  </si>
  <si>
    <t xml:space="preserve">FELIPE NUNES - 251                                                                                  </t>
  </si>
  <si>
    <t xml:space="preserve">FERNANDO JOSE CARVALHO - 10762                                                                      </t>
  </si>
  <si>
    <t xml:space="preserve">R 480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</si>
  <si>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FRANCISCO ADEMIR MORO JUNIOR - 216                                                                  </t>
  </si>
  <si>
    <t xml:space="preserve">FRANCISCO JOSE ESTEVES - 162                                                                        </t>
  </si>
  <si>
    <t xml:space="preserve">GUSTAVO ANTONIO NOGUEIRA - 73                                                                       </t>
  </si>
  <si>
    <t xml:space="preserve">R 500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</si>
  <si>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ISACC SANTOS GUEDES - 172                                                                           </t>
  </si>
  <si>
    <t xml:space="preserve">JEFFERSON APARECIDO DE LIMA - 10857                                                                 </t>
  </si>
  <si>
    <t xml:space="preserve">JOAO GABRIEL DA CRUZ - 10724                                                                        </t>
  </si>
  <si>
    <t xml:space="preserve">JOAQUIM RAIMUNDO PORTES JUNIOR - 195                                                                </t>
  </si>
  <si>
    <t xml:space="preserve">JONATAN MODESTO - 187                                                                               </t>
  </si>
  <si>
    <t xml:space="preserve">JOSE ARIMATEIA DA SILVA - 63                                                                        </t>
  </si>
  <si>
    <t xml:space="preserve">JOSE CLAUDIO DA CRUZ - 201                                                                          </t>
  </si>
  <si>
    <t xml:space="preserve">JOSE DAVI DA SILVA PINTO - 2028                                                                     </t>
  </si>
  <si>
    <t>TAZ5C32</t>
  </si>
  <si>
    <t xml:space="preserve">LAURO LORETO TEIXEIRA - 111                                                                         </t>
  </si>
  <si>
    <t xml:space="preserve">LEANDRO CESAR VIEIRA DE OLIVEIRA - 1                                                                </t>
  </si>
  <si>
    <t xml:space="preserve">LUCAS STEKLAIN PEDRO - 50080                                                                        </t>
  </si>
  <si>
    <t>SEX4F87</t>
  </si>
  <si>
    <t xml:space="preserve">CF 310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</si>
  <si>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 ALEX DOS SANTOS - 167                                                                          </t>
  </si>
  <si>
    <t xml:space="preserve">LUIZ CARLOS COELHO - 3                                                                              </t>
  </si>
  <si>
    <t xml:space="preserve">LUIZ CEZAR KELCZESKI - 50073                                                                        </t>
  </si>
  <si>
    <t xml:space="preserve">LUIZ GERVASIO STROPARO - 10759                                                                      </t>
  </si>
  <si>
    <t xml:space="preserve">SCANIA 620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</si>
  <si>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LUIZ TOME DOS SANTOS FILHO - 10844                                                                  </t>
  </si>
  <si>
    <t xml:space="preserve">MARCOS AURELIO NOGUEIRA - 235                                                                       </t>
  </si>
  <si>
    <t xml:space="preserve">MARIO SERGIO DOS SANTOS ANDREOLA - 50101                                                            </t>
  </si>
  <si>
    <t xml:space="preserve">MARIOVANY QUIRINO GOMES - 200                                                                       </t>
  </si>
  <si>
    <t xml:space="preserve">NEY CESAR WANDERLINDE LEINEKER - 40                                                                 </t>
  </si>
  <si>
    <t xml:space="preserve">ORVITO ANDERLE - 217                                                                                </t>
  </si>
  <si>
    <t xml:space="preserve">OSVALDIR RIBEIRO PINTO - 52                                                                         </t>
  </si>
  <si>
    <t xml:space="preserve">PABLO PEREIRA PEREIRA - 964                                                                         </t>
  </si>
  <si>
    <t>BBU6D69</t>
  </si>
  <si>
    <t xml:space="preserve">volvo vm 3030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</si>
  <si>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PAULO ROBERTO EVANGELISTA SOARES - 255                                                              </t>
  </si>
  <si>
    <t xml:space="preserve">RAFAEL SOUZA MIRANDA - 5004                                                                         </t>
  </si>
  <si>
    <t xml:space="preserve">REINALDO FERNEDA - 249                                                                              </t>
  </si>
  <si>
    <t xml:space="preserve">XF105 FTT 510A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</si>
  <si>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RICARDO FERREIRA DOS SANTOS - 5002                                                                  </t>
  </si>
  <si>
    <t xml:space="preserve">ROBSON RODRIGUES - 1027                                                                             </t>
  </si>
  <si>
    <t>TAZ5C27</t>
  </si>
  <si>
    <t xml:space="preserve">RODRIGO DOS SANTOS ALVES - 250                                                                      </t>
  </si>
  <si>
    <t xml:space="preserve">SAMUEL CRUZ TORRES DE BRITO - 189                                                                   </t>
  </si>
  <si>
    <t xml:space="preserve">SILAS DE LIMA - 225                                                                                 </t>
  </si>
  <si>
    <t xml:space="preserve">VALDEREZ MAINARDES - 229                                                                            </t>
  </si>
  <si>
    <t xml:space="preserve">VILSO DE OLIVEIRA COSTA - 78                                                                        </t>
  </si>
  <si>
    <t xml:space="preserve">VITOR RAFAEL PEDROZO - 143                                                                          </t>
  </si>
  <si>
    <t xml:space="preserve">VLADEMIR JORGE SANTOS - 208                                                                         </t>
  </si>
  <si>
    <t xml:space="preserve">WALDECIR JOSE XAVIER - 135                                                                          </t>
  </si>
  <si>
    <t xml:space="preserve">WERNER DUCK - 47                                                                                    </t>
  </si>
  <si>
    <t xml:space="preserve">WILSON CARNEIRO DA SILVA - 246                                                                      </t>
  </si>
  <si>
    <t xml:space="preserve">JETA COMERCIO DE COMBUSTIVEIS                     </t>
  </si>
  <si>
    <t xml:space="preserve"> ROBERTO RIVELINO CABRAL - 234                                                                      </t>
  </si>
  <si>
    <t xml:space="preserve">POTENCIAL PETROLEO LTDA                           </t>
  </si>
  <si>
    <t xml:space="preserve">NÃO LOGADO                                                                                          </t>
  </si>
  <si>
    <t>AYU9282</t>
  </si>
  <si>
    <t xml:space="preserve">VM 330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</si>
  <si>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BRUNO EUSTAQUIO PEREIRA - 668                                                                      </t>
  </si>
  <si>
    <t>BBU5285</t>
  </si>
  <si>
    <t xml:space="preserve">VM 270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</si>
  <si>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ELIESER CHAGAS DE SOUZA - 10855                                                                    </t>
  </si>
  <si>
    <t>AWH9B22</t>
  </si>
  <si>
    <t xml:space="preserve">ADAILSON SANTOS DOMINGOS - 966                                                                      </t>
  </si>
  <si>
    <t>BBF3D48</t>
  </si>
  <si>
    <t xml:space="preserve">ATEGO 3030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</si>
  <si>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ADEMIR FERREIRA DA SILVA - 264                                                                      </t>
  </si>
  <si>
    <t>SET9H67</t>
  </si>
  <si>
    <t xml:space="preserve">XF 480 6X2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</si>
  <si>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ADILSON ROBERTO DA SILVA - 50082                                                                    </t>
  </si>
  <si>
    <t>SEE0I15</t>
  </si>
  <si>
    <t xml:space="preserve">ALAOR BATISTA DE FREITAS - 193                                                                      </t>
  </si>
  <si>
    <t xml:space="preserve">ALDORI FRANCISCO RIBEIRO DOS SANTOS JUNIOR - 10575                                                  </t>
  </si>
  <si>
    <t>SFE8B50</t>
  </si>
  <si>
    <t xml:space="preserve">ANDRE KOSINSKI - 10539                                                                              </t>
  </si>
  <si>
    <t>SEZ3C59</t>
  </si>
  <si>
    <t xml:space="preserve">CELIO DIAS DUARTE - 667                                                                             </t>
  </si>
  <si>
    <t>BAG0364</t>
  </si>
  <si>
    <t xml:space="preserve">ATEGO 2430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</si>
  <si>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CLAUDINOR CAMPARIM - 10796                                                                          </t>
  </si>
  <si>
    <t>SED7D07</t>
  </si>
  <si>
    <t xml:space="preserve">CLEBERSON VAZ DE CARVALHAES - 10751                                                                 </t>
  </si>
  <si>
    <t>SED7D22</t>
  </si>
  <si>
    <t>BBM5799</t>
  </si>
  <si>
    <t xml:space="preserve">DANIEL SALOMAO RODRIGUES - 219                                                                      </t>
  </si>
  <si>
    <t>BAQ4362</t>
  </si>
  <si>
    <t xml:space="preserve">DANILO DOS SANTOS MARTINS - 10771                                                                   </t>
  </si>
  <si>
    <t>BBU5284</t>
  </si>
  <si>
    <t xml:space="preserve">DIEGO DOS SANTOS - 10716                                                                            </t>
  </si>
  <si>
    <t>BBU5283</t>
  </si>
  <si>
    <t>BAD8106</t>
  </si>
  <si>
    <t xml:space="preserve">ERIC RENE PIOVAM - 10732                                                                            </t>
  </si>
  <si>
    <t>SFF3I78</t>
  </si>
  <si>
    <t xml:space="preserve">EVERALDO DE BONA - 1029                                                                             </t>
  </si>
  <si>
    <t>BBU6373</t>
  </si>
  <si>
    <t xml:space="preserve">FABIANO COTY ALMEIDA - 1033                                                                         </t>
  </si>
  <si>
    <t>BBU6370</t>
  </si>
  <si>
    <t xml:space="preserve">FELIPE ROSA MOLLERKE - 7031                                                                         </t>
  </si>
  <si>
    <t>BBU6D71</t>
  </si>
  <si>
    <t xml:space="preserve">FELIX MOSSON - 10772                                                                                </t>
  </si>
  <si>
    <t>AXU9199</t>
  </si>
  <si>
    <t xml:space="preserve">P 360                                                                                                                                                                                                                                                          </t>
  </si>
  <si>
    <t>SEU0D65</t>
  </si>
  <si>
    <t xml:space="preserve">DAF CF FTT 480                                                                                                                                                                                                                                                 </t>
  </si>
  <si>
    <t>BBE8E19</t>
  </si>
  <si>
    <t xml:space="preserve">FRANCISCO IVERSON MERETKA - 50081                                                                   </t>
  </si>
  <si>
    <t>AZZ2J62</t>
  </si>
  <si>
    <t xml:space="preserve">GABRIEL DELGADO CORGAS - 10846                                                                      </t>
  </si>
  <si>
    <t>AXT9482</t>
  </si>
  <si>
    <t xml:space="preserve">HELTON CARLOS DE SOUZA MACEDO - 10777                                                               </t>
  </si>
  <si>
    <t>AYS1487</t>
  </si>
  <si>
    <t>SEU0D55</t>
  </si>
  <si>
    <t xml:space="preserve">HEVERTON FERREIRA VIERA - 10276                                                                     </t>
  </si>
  <si>
    <t>SFE8B47</t>
  </si>
  <si>
    <t xml:space="preserve">ISAK GONCALVES - 10723                                                                              </t>
  </si>
  <si>
    <t>SFE8B45</t>
  </si>
  <si>
    <t xml:space="preserve">JOEL RODYCZ - 10816                                                                                 </t>
  </si>
  <si>
    <t>SED7D05</t>
  </si>
  <si>
    <t xml:space="preserve">JONAS FERNANDES DE LIMA - 10780                                                                     </t>
  </si>
  <si>
    <t>SEU0D58</t>
  </si>
  <si>
    <t xml:space="preserve">JONAS TADEU DA SILVA - 10774                                                                        </t>
  </si>
  <si>
    <t>SEE7D60</t>
  </si>
  <si>
    <t>BBE7B08</t>
  </si>
  <si>
    <t xml:space="preserve">ATEGO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</si>
  <si>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JOSIANE DE FREITAS CABRAL - 10638                                                                   </t>
  </si>
  <si>
    <t>SFF3I76</t>
  </si>
  <si>
    <t xml:space="preserve">JULIANO DE PAULA DA LUZ - 1020                                                                      </t>
  </si>
  <si>
    <t>SEX0F98</t>
  </si>
  <si>
    <t xml:space="preserve">JULIO CEZAR MARTINS - 670                                                                           </t>
  </si>
  <si>
    <t>BAG0361</t>
  </si>
  <si>
    <t xml:space="preserve">LEANDRO OLIVEIRA RODRIGUES - 10623                                                                  </t>
  </si>
  <si>
    <t>SED6J61</t>
  </si>
  <si>
    <t xml:space="preserve">LUCAS KOSINSKI - 10798                                                                              </t>
  </si>
  <si>
    <t>BBE9A80</t>
  </si>
  <si>
    <t xml:space="preserve">LUCAS STEKLAIN PEDRO JUNIOR - 10823                                                                 </t>
  </si>
  <si>
    <t>SEU0D47</t>
  </si>
  <si>
    <t xml:space="preserve">LUIZ CARLOS JOMEK - 10321                                                                           </t>
  </si>
  <si>
    <t>SET9J31</t>
  </si>
  <si>
    <t>BAY4770</t>
  </si>
  <si>
    <t xml:space="preserve">MARCELO ALVES RIBEIRO - 10721                                                                       </t>
  </si>
  <si>
    <t>SED6J94</t>
  </si>
  <si>
    <t xml:space="preserve">MARCELO DE JESUS ARAUJO - 118                                                                       </t>
  </si>
  <si>
    <t xml:space="preserve">FH 440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</si>
  <si>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MARCELO MARTINS GONCALVES - 10722                                                                   </t>
  </si>
  <si>
    <t>SFE2D68</t>
  </si>
  <si>
    <t xml:space="preserve">FH 12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</si>
  <si>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MARCIO ANTONIO DE CARVALHO - 50083                                                                  </t>
  </si>
  <si>
    <t>BAX9953</t>
  </si>
  <si>
    <t xml:space="preserve">MARCIO WAMMES DA SILVA - 2026                                                                       </t>
  </si>
  <si>
    <t>BAG1879</t>
  </si>
  <si>
    <t xml:space="preserve">MARCOS AURELIO NUNES - 7002                                                                         </t>
  </si>
  <si>
    <t>SET9H86</t>
  </si>
  <si>
    <t xml:space="preserve">XF105 FTT 460A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</si>
  <si>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MATEUS ALVES DOS SANTOS - 10832                                                                     </t>
  </si>
  <si>
    <t>BBL8864</t>
  </si>
  <si>
    <t xml:space="preserve">MICHEL FELIPE SANTANA - 10770                                                                       </t>
  </si>
  <si>
    <t>SFF3I77</t>
  </si>
  <si>
    <t xml:space="preserve">MOACIR MENDES SANTOS - 263                                                                          </t>
  </si>
  <si>
    <t>SEU0D62</t>
  </si>
  <si>
    <t xml:space="preserve">PAULO HENRIQUE MARTINS LAGES - 662                                                                  </t>
  </si>
  <si>
    <t>BBU5286</t>
  </si>
  <si>
    <t xml:space="preserve">ROBERTO DA SILVA AIRES - 10825                                                                      </t>
  </si>
  <si>
    <t>SFE8B60</t>
  </si>
  <si>
    <t xml:space="preserve">ROBSON SILVA SALES - 669                                                                            </t>
  </si>
  <si>
    <t>BAG0362</t>
  </si>
  <si>
    <t xml:space="preserve">SEBASTIAO LIMA DE SOUZA - 10688                                                                     </t>
  </si>
  <si>
    <t>SEY3D86</t>
  </si>
  <si>
    <t>BBU6D74</t>
  </si>
  <si>
    <t xml:space="preserve">SERGIO CARLOS ROCHA - 671                                                                           </t>
  </si>
  <si>
    <t>BBU5C81</t>
  </si>
  <si>
    <t xml:space="preserve">SILVIO CZELUSARZ - 299                                                                              </t>
  </si>
  <si>
    <t>SET9H08</t>
  </si>
  <si>
    <t xml:space="preserve">VALDECIR SALES DOS PASSOS - 10718                                                                   </t>
  </si>
  <si>
    <t>SET9H18</t>
  </si>
  <si>
    <t xml:space="preserve">WESLEY MILHOMEM DE SOUSA - 10757                                                                    </t>
  </si>
  <si>
    <t>SED7C99</t>
  </si>
  <si>
    <t xml:space="preserve">WESLLEY MARLLON ONOFRE - 2022                                                                       </t>
  </si>
  <si>
    <t>BAF5E23</t>
  </si>
  <si>
    <t>KM</t>
  </si>
  <si>
    <t>PEDÁGIOS</t>
  </si>
  <si>
    <t>VALOR  PEDÁGIOS</t>
  </si>
  <si>
    <t>LINK</t>
  </si>
  <si>
    <t>PRAÇAS DE PEDÁGIO</t>
  </si>
  <si>
    <t>MAFRA,SC</t>
  </si>
  <si>
    <t>CUBATAO,SP</t>
  </si>
  <si>
    <t>MAFRA/CUBATAO</t>
  </si>
  <si>
    <t>VER ROTA</t>
  </si>
  <si>
    <t>PLANALTO SUL - RIO NEGRO (PR - BR-116); PLANALTO SUL - FAZENDA RIO GRANDE (PR - BR-116); RÉGIS BITTENCOURT - Campina Grande do Sul (PR - BR-116); RÉGIS BITTENCOURT - Barra do Turvo (SP - BR-116); RÉGIS BITTENCOURT - Cajati (SP - BR-116); RÉGIS BITTENCOURT - Juquiá (SP - BR-116); ECOVIAS DOS IMIGRANTES - São Vicente L. (SP - SP-055)</t>
  </si>
  <si>
    <t>ARAUCARIA,PR</t>
  </si>
  <si>
    <t>VARZEA GRANDE,MT</t>
  </si>
  <si>
    <t>ARAUCARIA/VARZEA GRANDE</t>
  </si>
  <si>
    <t>VIA ARAUCÁRIA - P1 - São Luiz do Purunã (PR - BR-277); CART - Presidente Bernardes (SP - SP-270); CART - Caiuá (SP - SP-270); CCR MSVia - P-05 Campo Grande (MS - BR-163); CCR MSVia - P-06 Jaraguari (MS - BR-163); CCR MSVia - P-07 São Gabriel do Oeste (MS - BR-163); CCR MSVia - P-08 Rio Verde de Mato Grosso (MS - BR-163); CCR MSVia - P-09 Pedro Gomes (MS - BR-163); ROTA DO OESTE - P- 1 Itiquira (MT - BR-163); ROTA DO OESTE - P- 2  Rondonópolis (MT - BR-364); ROTA DO OESTE - P- 3 Campo Verde (MT - BR-364); ROTA DO OESTE - P- 4 Santo Antônio do Leverger (MT - BR-364)</t>
  </si>
  <si>
    <t>RONDONOPOLIS,MT</t>
  </si>
  <si>
    <t>ARAUCARIA/RONDONOPOLIS</t>
  </si>
  <si>
    <t>VIA ARAUCÁRIA - P1 - São Luiz do Purunã (PR - BR-277); CART - Presidente Bernardes (SP - SP-270); CART - Caiuá (SP - SP-270); CCR MSVia - P-05 Campo Grande (MS - BR-163); CCR MSVia - P-06 Jaraguari (MS - BR-163); CCR MSVia - P-07 São Gabriel do Oeste (MS - BR-163); CCR MSVia - P-08 Rio Verde de Mato Grosso (MS - BR-163); CCR MSVia - P-09 Pedro Gomes (MS - BR-163); ROTA DO OESTE - P- 1 Itiquira (MT - BR-163)</t>
  </si>
  <si>
    <t>DOURADOS,MS</t>
  </si>
  <si>
    <t>PAULINIA,SP</t>
  </si>
  <si>
    <t>DOURADOS/PAULINIA</t>
  </si>
  <si>
    <t>CCR MSVia - P-04 Rio Brilhante (MS - BR-163); CART - Caiuá (SP - SP-270); CART - Presidente Bernardes (SP - SP-270); CART - Regente Feijó (SP - SP-270); CART - Rancharia (SP - SP-270); CART - Assis (SP - SP-270); CART - Palmital (SP - SP-270); CART - Ourinhos (SP - SP-327); CART - Santa Cruz do Rio Pardo (SP - SP-225); SPVIAS - Iaras L/O (SP - SP-280); SPVIAS - Itatinga L/O (SP - SP-280); SPVIAS - Quadra L/O (SP - SP-280); AB COLINAS - Boituva L/O (SP - SP-280); AB COLINAS - Indaiatuba N/S (SP - SP-075)</t>
  </si>
  <si>
    <t>PARANAGUA,PR</t>
  </si>
  <si>
    <t>PARANAGUA/CUBATAO</t>
  </si>
  <si>
    <t>EPR LITORAL PIONEIRO - P1 - São José dos Pinhais (PR - BR-277); RÉGIS BITTENCOURT - Campina Grande do Sul (PR - BR-116); RÉGIS BITTENCOURT - Barra do Turvo (SP - BR-116); RÉGIS BITTENCOURT - Cajati (SP - BR-116); RÉGIS BITTENCOURT - Juquiá (SP - BR-116); ECOVIAS DOS IMIGRANTES - São Vicente L. (SP - SP-055)</t>
  </si>
  <si>
    <t>BETIM,MG</t>
  </si>
  <si>
    <t>LAPA,PR</t>
  </si>
  <si>
    <t>BETIM/LAPA</t>
  </si>
  <si>
    <t>FERNÃO DIAS - P8-Itatiaiuçú (MG - BR-381); FERNÃO DIAS - P7-Carmópolis de Minas (MG - BR-381); FERNÃO DIAS - P6-Santo Antônio do Amparo (MG - BR-381); FERNÃO DIAS - P5-Carmo da Cachoeira (MG - BR-381); FERNÃO DIAS - P4-São Gonçalo do Sapucaí (MG - BR-381); FERNÃO DIAS - P3-Cambuí (MG - BR-381); FERNÃO DIAS - P2-Vargem (SP - BR-381); ROTA DAS BANDEIRAS - Atibaia N/S (SP - SP-065); ROTA DAS BANDEIRAS - Jundiaí (SP - SP-360); AUTOBAN - Caieiras (SP - SP-348); RODOANEL OESTE - Régis Bittencourt (SP - SP-021); RÉGIS BITTENCOURT - São Lourenço da Serra (SP - BR-116); RÉGIS BITTENCOURT - Miracatu (SP - BR-116); RÉGIS BITTENCOURT - Juquiá (SP - BR-116); RÉGIS BITTENCOURT - Cajati (SP - BR-116); RÉGIS BITTENCOURT - Barra do Turvo (SP - BR-116); RÉGIS BITTENCOURT - Campina Grande do Sul (PR - BR-116); VIA ARAUCÁRIA - P5 - Lapa (PR - BR-476)</t>
  </si>
  <si>
    <t>LAPA/ARAUCARIA</t>
  </si>
  <si>
    <t>VIA ARAUCÁRIA - P5 - Lapa (PR - BR-476)</t>
  </si>
  <si>
    <t>LUCAS DO RIO VERDE,MT</t>
  </si>
  <si>
    <t>RIBEIRAO PRETO,SP</t>
  </si>
  <si>
    <t>LUCAS DO RIO VERDE/RIBEIRAO PRETO</t>
  </si>
  <si>
    <t>ROTA DO OESTE - P- 8 Lucas do Rio Verde (MT - BR-163); ROTA DO OESTE - P- 7 Nova Mutum (MT - BR-163); ROTA DO OESTE - P- 6 Diamantino (MT - BR-364); ROTA DO OESTE - P- 5 Jangada (MT - BR-364); ROTA DO OESTE - P- 4 Santo Antônio do Leverger (MT - BR-364); ROTA DO OESTE - P- 3 Campo Verde (MT - BR-364); ROTA DO OESTE - P- 2  Rondonópolis (MT - BR-364); VIA BRASIL - MT-100 - P2 - Alto Araguaia (MT - MT-100); VIA BRASIL - MT-100 - P1 - Alto Taquari (MT - MT-100); WAY - 306 - P1 - Costa Rica (MS - MS-306); WAY - 306 - P2 - Chapadão do Sul (MS - MS-306); WAY - 306 - P3 - Cassilândia (MS - MS-306); WAY - 112 - P 04 - Paranaíba (MS - BR-158); WAY - 112 - P 05 - Aparecida do Taboado (MS - BR-158); WAY - 112 - P 06 - Aparecida do Taboado (MS - BR-436); ECONOROESTE - Catiguá N/S (SP - SP-310); ECONOROESTE - Agulha N/S (SP - SP-310); ECONOROESTE - Jaboticabal L/O (SP - SP-333); ENTREVIAS - SERTÃOZINHO (SP - SP-322)</t>
  </si>
  <si>
    <t>SAO CAETANO DO SUL,SP</t>
  </si>
  <si>
    <t>PARANAGUA/SAO CAETANO DO SUL</t>
  </si>
  <si>
    <t>EPR LITORAL PIONEIRO - P1 - São José dos Pinhais (PR - BR-277);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SPMAR - P5 - Anchieta (SP - SP-021)</t>
  </si>
  <si>
    <t>NOVA MUTUM,MT</t>
  </si>
  <si>
    <t>SUMARE,SP</t>
  </si>
  <si>
    <t>NOVA MUTUM/SUMARE</t>
  </si>
  <si>
    <t>ROTA DO OESTE - P- 7 Nova Mutum (MT - BR-163); ROTA DO OESTE - P- 6 Diamantino (MT - BR-364); ROTA DO OESTE - P- 5 Jangada (MT - BR-364); ROTA DO OESTE - P- 4 Santo Antônio do Leverger (MT - BR-364); ROTA DO OESTE - P- 3 Campo Verde (MT - BR-364); ROTA DO OESTE - P- 2  Rondonópolis (MT - BR-364); VIA BRASIL - MT-100 - P2 - Alto Araguaia (MT - MT-100); VIA BRASIL - MT-100 - P1 - Alto Taquari (MT - MT-100); WAY - 306 - P1 - Costa Rica (MS - MS-306); WAY - 306 - P2 - Chapadão do Sul (MS - MS-306); WAY - 306 - P3 - Cassilândia (MS - MS-306); WAY - 112 - P 04 - Paranaíba (MS - BR-158); WAY - 112 - P 05 - Aparecida do Taboado (MS - BR-158); WAY - 112 - P 06 - Aparecida do Taboado (MS - BR-436); ECONOROESTE - Catiguá N/S (SP - SP-310); ECONOROESTE - Agulha N/S (SP - SP-310); ECONOROESTE - Araraquara N/S (SP - SP-310); EIXO SP - Itirapina (SP - SP-310); EIXO SP - Rio Claro (SP - SP-310); AUTOBAN - Limeira Anhanguera (SP - SP-330); AUTOBAN - Nova Odessa (SP - SP-330)</t>
  </si>
  <si>
    <t>SAO JOSE DOS CAMPOS,SP</t>
  </si>
  <si>
    <t>PARANAGUA/SAO JOSE DOS CAMPOS</t>
  </si>
  <si>
    <t>EPR LITORAL PIONEIRO - P1 - São José dos Pinhais (PR - BR-277);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Castello Branco Interna (SP - SP-021); CCR RioSP - Arujá N/S (SP - BR-116); CCR RioSP - Guararema N/S (SP - BR-116); CCR RioSP - Jacareí (SP - BR-116)</t>
  </si>
  <si>
    <t>MARIALVA,PR</t>
  </si>
  <si>
    <t>MARIALVA/ARAUCARIA</t>
  </si>
  <si>
    <t>VIA ARAUCÁRIA - P1 - São Luiz do Purunã (PR - BR-277)</t>
  </si>
  <si>
    <t>CURITIBA,PR</t>
  </si>
  <si>
    <t>RIO VERDE,GO</t>
  </si>
  <si>
    <t>CURITIBA/RIO VERDE</t>
  </si>
  <si>
    <t>VIA ARAUCÁRIA - P1 - São Luiz do Purunã (PR - BR-277); CART - Presidente Bernardes (SP - SP-270); WAY - 112 - P 07 Aparecida do Taboado (MS - BR-158); WAY - 112 - P 05 - Aparecida do Taboado (MS - BR-158); WAY - 112 - P 04 - Paranaíba (MS - BR-158); ECOVIAS DO CERRADO - P6 - CACHOEIRA ALTA (GO - BR-364)</t>
  </si>
  <si>
    <t>SARANDI,PR</t>
  </si>
  <si>
    <t>CRUZ ALTA,RS</t>
  </si>
  <si>
    <t>SARANDI/CRUZ ALTA</t>
  </si>
  <si>
    <t>CANOAS,RS</t>
  </si>
  <si>
    <t>SARANDI/CANOAS</t>
  </si>
  <si>
    <t>CCR VIASUL - P6 - Fontoura Xavier (RS - BR-290); CCR VIASUL - P5 - Paverama (RS - BR-290); CCR VIASUL - P4 - Montenegro (RS - BR-290)</t>
  </si>
  <si>
    <t>SANTA MARIA,RS</t>
  </si>
  <si>
    <t>SARANDI/SANTA MARIA</t>
  </si>
  <si>
    <t>ITAJAI,SC</t>
  </si>
  <si>
    <t>DOURADOS/ITAJAI</t>
  </si>
  <si>
    <t>VIA ARAUCÁRIA - P1 - São Luiz do Purunã (PR - BR-277); LITORAL SUL - São José dos Pinhais (PR - BR-376); LITORAL SUL - Garuva (SC - BR-101); LITORAL SUL - Araquari (SC - BR-101)</t>
  </si>
  <si>
    <t>SANTOS,SP</t>
  </si>
  <si>
    <t>SANTOS/SAO JOSE DOS CAMPOS</t>
  </si>
  <si>
    <t>SPMAR - P6 - Ribeirão Pires - Externa (SP - SP-021); SPMAR - P9 - Ayrton Senna (SP - SP-021); ECOPISTAS - Guararema - L/O (SP - SP-070); CCR RioSP - Jacareí (SP - BR-116)</t>
  </si>
  <si>
    <t>PASSO FUNDO,RS</t>
  </si>
  <si>
    <t>SARANDI/PASSO FUNDO</t>
  </si>
  <si>
    <t>CAARAPO,MS</t>
  </si>
  <si>
    <t>CURITIBA/CAARAPO</t>
  </si>
  <si>
    <t>VIA ARAUCÁRIA - P1 - São Luiz do Purunã (PR - BR-277); VIA ARAUCÁRIA - P2 - Porto Amazonas (PR - BR-277); VIA ARAUCÁRIA - P3 - Irati (PR - BR-277); CCR MSVia - P-01 Mundo Novo (MS - BR-163); CCR MSVia - P-02  Itaquiraí (MS - BR-163)</t>
  </si>
  <si>
    <t>PARANAGUA/SUMARE</t>
  </si>
  <si>
    <t>EPR LITORAL PIONEIRO - P1 - São José dos Pinhais (PR - BR-277);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Bandeirantes Externa (SP - SP-021); AUTOBAN - Campo Limpo (SP - SP-348); AUTOBAN - Itupeva (SP - SP-348)</t>
  </si>
  <si>
    <t>PEDRA PRETA,MT</t>
  </si>
  <si>
    <t>PARANAGUA/PEDRA PRETA</t>
  </si>
  <si>
    <t>EPR LITORAL PIONEIRO - P1 - São José dos Pinhais (PR - BR-277); VIA ARAUCÁRIA - P1 - São Luiz do Purunã (PR - BR-277); CART - Presidente Bernardes (SP - SP-270); CART - Caiuá (SP - SP-270); CCR MSVia - P-05 Campo Grande (MS - BR-163); CCR MSVia - P-06 Jaraguari (MS - BR-163); CCR MSVia - P-07 São Gabriel do Oeste (MS - BR-163); CCR MSVia - P-08 Rio Verde de Mato Grosso (MS - BR-163); CCR MSVia - P-09 Pedro Gomes (MS - BR-163); ROTA DO OESTE - P- 1 Itiquira (MT - BR-163)</t>
  </si>
  <si>
    <t>ARAUCARIA/SARANDI</t>
  </si>
  <si>
    <t>SANTOS/BETIM</t>
  </si>
  <si>
    <t>FERNÃO DIAS - P1-Mairiporâ (SP - BR-381); FERNÃO DIAS - P2-Vargem (SP - BR-381); FERNÃO DIAS - P3-Cambuí (MG - BR-381); FERNÃO DIAS - P4-São Gonçalo do Sapucaí (MG - BR-381); FERNÃO DIAS - P5-Carmo da Cachoeira (MG - BR-381); FERNÃO DIAS - P6-Santo Antônio do Amparo (MG - BR-381); FERNÃO DIAS - P7-Carmópolis de Minas (MG - BR-381); FERNÃO DIAS - P8-Itatiaiuçú (MG - BR-381)</t>
  </si>
  <si>
    <t>CUIABA,MT</t>
  </si>
  <si>
    <t>RONDONOPOLIS/CUIABA</t>
  </si>
  <si>
    <t>ROTA DO OESTE - P- 2  Rondonópolis (MT - BR-364); ROTA DO OESTE - P- 3 Campo Verde (MT - BR-364); ROTA DO OESTE - P- 4 Santo Antônio do Leverger (MT - BR-364)</t>
  </si>
  <si>
    <t>CAMPINAS,SP</t>
  </si>
  <si>
    <t>CAMPINAS/BETIM</t>
  </si>
  <si>
    <t>ROTA DAS BANDEIRAS - Itatiba N/S (SP - SP-065); ROTA DAS BANDEIRAS - Atibaia N/S (SP - SP-065); FERNÃO DIAS - P2-Vargem (SP - BR-381); FERNÃO DIAS - P3-Cambuí (MG - BR-381); FERNÃO DIAS - P4-São Gonçalo do Sapucaí (MG - BR-381); FERNÃO DIAS - P5-Carmo da Cachoeira (MG - BR-381); FERNÃO DIAS - P6-Santo Antônio do Amparo (MG - BR-381); FERNÃO DIAS - P7-Carmópolis de Minas (MG - BR-381); FERNÃO DIAS - P8-Itatiaiuçú (MG - BR-381)</t>
  </si>
  <si>
    <t>LAPA/BETIM</t>
  </si>
  <si>
    <t>VIA ARAUCÁRIA - P5 - Lapa (PR - BR-476);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Anhanguera Externa (SP - SP-021); AUTOBAN - Perus (SP - SP-330); ROTA DAS BANDEIRAS - Atibaia N/S (SP - SP-065); FERNÃO DIAS - P2-Vargem (SP - BR-381); FERNÃO DIAS - P3-Cambuí (MG - BR-381); FERNÃO DIAS - P4-São Gonçalo do Sapucaí (MG - BR-381); FERNÃO DIAS - P5-Carmo da Cachoeira (MG - BR-381); FERNÃO DIAS - P6-Santo Antônio do Amparo (MG - BR-381); FERNÃO DIAS - P7-Carmópolis de Minas (MG - BR-381); FERNÃO DIAS - P8-Itatiaiuçú (MG - BR-381)</t>
  </si>
  <si>
    <t>PARANAGUA/CANOAS</t>
  </si>
  <si>
    <t>EPR LITORAL PIONEIRO - P1 - São José dos Pinhais (PR - BR-277); LITORAL SUL - São José dos Pinhais (PR - BR-376); LITORAL SUL - Garuva (SC - BR-101); LITORAL SUL - Araquari (SC - BR-101); LITORAL SUL - Porto Belo (SC - BR-101); LITORAL SUL - Palhoça (SC - BR-101); CCR VIA COSTEIRA - P1 - Laguna (SC - BR-101); CCR VIA COSTEIRA - P2 - Tubarão (SC - BR-101); CCR VIA COSTEIRA - P3 - Araranguá (SC - BR-101); CCR VIA COSTEIRA - P4 - São João do Sul (SC - BR-101); CCR VIASUL - P1 - Três Cachoeiras (RS - BR-290); CCR VIASUL - P2 - Santo Antonio da Patrulha (RS - BR-290); CCR VIASUL - P3 - Gravataí (RS - BR-290)</t>
  </si>
  <si>
    <t>RIO BRILHANTE,MS</t>
  </si>
  <si>
    <t>PARANAGUA/RIO BRILHANTE</t>
  </si>
  <si>
    <t>EPR LITORAL PIONEIRO - P1 - São José dos Pinhais (PR - BR-277); VIA ARAUCÁRIA - P1 - São Luiz do Purunã (PR - BR-277); CART - Presidente Bernardes (SP - SP-270); CART - Caiuá (SP - SP-270)</t>
  </si>
  <si>
    <t>ERECHIM,RS</t>
  </si>
  <si>
    <t>PARANAGUA/ERECHIM</t>
  </si>
  <si>
    <t>EPR LITORAL PIONEIRO - P1 - São José dos Pinhais (PR - BR-277); VIA ARAUCÁRIA - P5 - Lapa (PR - BR-476)</t>
  </si>
  <si>
    <t>PORTO REAL,RJ</t>
  </si>
  <si>
    <t>PARANAGUA/PORTO REAL</t>
  </si>
  <si>
    <t>EPR LITORAL PIONEIRO - P1 - São José dos Pinhais (PR - BR-277);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Castello Branco Interna (SP - SP-021); ECOPISTAS - Itaquaquecetuba - L/O (SP - SP-070); ECOPISTAS - Guararema - L/O (SP - SP-070); ECOPISTAS - São José dos Campos - L/O (SP - SP-070); ECOPISTAS - Caçapava - L/O (SP - SP-070); CCR RioSP - Moreira César (SP - BR-116); CCR RioSP - Itatiaia (RJ - BR-116)</t>
  </si>
  <si>
    <t>MARINGA,PR</t>
  </si>
  <si>
    <t>PARANAGUA/MARINGA</t>
  </si>
  <si>
    <t>EPR LITORAL PIONEIRO - P1 - São José dos Pinhais (PR - BR-277); VIA ARAUCÁRIA - P1 - São Luiz do Purunã (PR - BR-277)</t>
  </si>
  <si>
    <t>PARANAGUA/CUIABA</t>
  </si>
  <si>
    <t>EPR LITORAL PIONEIRO - P1 - São José dos Pinhais (PR - BR-277); VIA ARAUCÁRIA - P1 - São Luiz do Purunã (PR - BR-277); CART - Presidente Bernardes (SP - SP-270); CART - Caiuá (SP - SP-270); CCR MSVia - P-05 Campo Grande (MS - BR-163); CCR MSVia - P-06 Jaraguari (MS - BR-163); CCR MSVia - P-07 São Gabriel do Oeste (MS - BR-163); CCR MSVia - P-08 Rio Verde de Mato Grosso (MS - BR-163); CCR MSVia - P-09 Pedro Gomes (MS - BR-163); ROTA DO OESTE - P- 1 Itiquira (MT - BR-163); ROTA DO OESTE - P- 2  Rondonópolis (MT - BR-364); ROTA DO OESTE - P- 3 Campo Verde (MT - BR-364); ROTA DO OESTE - P- 4 Santo Antônio do Leverger (MT - BR-364)</t>
  </si>
  <si>
    <t>NOVA MARILANDIA,MT</t>
  </si>
  <si>
    <t>PARANAGUA/NOVA MARILANDIA</t>
  </si>
  <si>
    <t>EPR LITORAL PIONEIRO - P1 - São José dos Pinhais (PR - BR-277); VIA ARAUCÁRIA - P1 - São Luiz do Purunã (PR - BR-277); CART - Presidente Bernardes (SP - SP-270); CART - Caiuá (SP - SP-270); CCR MSVia - P-05 Campo Grande (MS - BR-163); CCR MSVia - P-06 Jaraguari (MS - BR-163); CCR MSVia - P-07 São Gabriel do Oeste (MS - BR-163); CCR MSVia - P-08 Rio Verde de Mato Grosso (MS - BR-163); CCR MSVia - P-09 Pedro Gomes (MS - BR-163); ROTA DO OESTE - P- 1 Itiquira (MT - BR-163); ROTA DO OESTE - P- 2  Rondonópolis (MT - BR-364); ROTA DO OESTE - P- 3 Campo Verde (MT - BR-364); ROTA DO OESTE - P- 4 Santo Antônio do Leverger (MT - BR-364); ROTA DO OESTE - P- 5 Jangada (MT - BR-364); ROTA DO OESTE - P- 6 Diamantino (MT - BR-364)</t>
  </si>
  <si>
    <t>IRAQUARA,BA</t>
  </si>
  <si>
    <t>PARANAGUA/IRAQUARA</t>
  </si>
  <si>
    <t>EPR LITORAL PIONEIRO - P1 - São José dos Pinhais (PR - BR-277);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Anhanguera Externa (SP - SP-021); AUTOBAN - Perus (SP - SP-330); ROTA DAS BANDEIRAS - Atibaia N/S (SP - SP-065); FERNÃO DIAS - P2-Vargem (SP - BR-381); FERNÃO DIAS - P3-Cambuí (MG - BR-381); FERNÃO DIAS - P4-São Gonçalo do Sapucaí (MG - BR-381); FERNÃO DIAS - P5-Carmo da Cachoeira (MG - BR-381); FERNÃO DIAS - P6-Santo Antônio do Amparo (MG - BR-381); FERNÃO DIAS - P7-Carmópolis de Minas (MG - BR-381); FERNÃO DIAS - P8-Itatiaiuçú (MG - BR-381); VIA DOS CRISTAIS - Capim Branco (MG - BR-040); ECO 135 - P5 - Curvelo (MG - BR-135); ECO 135 - P4 - Corinto (MG - BR-135); ECO 135 - P3 - Buenópolis (MG - BR-135); ECO 135 - P1 - Boucaiúva (MG - BR-135); ECO 135 - P2 - Joaquim Felício (MG - BR-135); VIABAHIA - P7-Vitória da Conquista (BA - BR-116)</t>
  </si>
  <si>
    <t>PARANAGUA/RIO VERDE</t>
  </si>
  <si>
    <t>EPR LITORAL PIONEIRO - P1 - São José dos Pinhais (PR - BR-277); VIA ARAUCÁRIA - P1 - São Luiz do Purunã (PR - BR-277); CART - Presidente Bernardes (SP - SP-270); WAY - 112 - P 07 Aparecida do Taboado (MS - BR-158); WAY - 112 - P 05 - Aparecida do Taboado (MS - BR-158); WAY - 112 - P 04 - Paranaíba (MS - BR-158); ECOVIAS DO CERRADO - P6 - CACHOEIRA ALTA (GO - BR-364)</t>
  </si>
  <si>
    <t>PARANAGUA/CAARAPO</t>
  </si>
  <si>
    <t>EPR LITORAL PIONEIRO - P1 - São José dos Pinhais (PR - BR-277); VIA ARAUCÁRIA - P1 - São Luiz do Purunã (PR - BR-277); VIA ARAUCÁRIA - P2 - Porto Amazonas (PR - BR-277); VIA ARAUCÁRIA - P3 - Irati (PR - BR-277); CCR MSVia - P-01 Mundo Novo (MS - BR-163); CCR MSVia - P-02  Itaquiraí (MS - BR-163)</t>
  </si>
  <si>
    <t>SAO BERNARDO DO CAMPO,SP</t>
  </si>
  <si>
    <t>SANTOS/SAO BERNARDO DO CAMPO</t>
  </si>
  <si>
    <t>GUARARAPES,SP</t>
  </si>
  <si>
    <t>GUARARAPES/SAO JOSE DOS CAMPOS</t>
  </si>
  <si>
    <t>VIARONDON - Glicério (SP - SP-300); VIARONDON - Promissão (SP - SP-300); VIARONDON - Pirajuí (SP - SP-300); VIARONDON - Avaí (SP - SP-300); RODOVIAS DO TIETÊ - Lençois Paulista (SP - SP-300); RODOVIAS DO TIETÊ - Areiópolis (SP - SP-300); RODOVIAS DO TIETÊ - Botucatu (SP - SP-300); SPVIAS - Itatinga L/O (SP - SP-280); SPVIAS - Quadra L/O (SP - SP-280); AB COLINAS - Boituva L/O (SP - SP-280); CCR SOROCABANA - Itu (SP - SP-280); ECOVIAS RAPOSO CASTELLO - Barueri (SP - SP-280); CCR RioSP - Arujá N/S (SP - BR-116); CCR RioSP - Guararema N/S (SP - BR-116); CCR RioSP - Jacareí (SP - BR-116)</t>
  </si>
  <si>
    <t>CAREACU,MG</t>
  </si>
  <si>
    <t>LAPA/CAREACU</t>
  </si>
  <si>
    <t>EPR LITORAL PIONEIRO - P3 - Jacarezinho (PR - BR-369); CART - Ourinhos (SP - SP-327); CART - Santa Cruz do Rio Pardo (SP - SP-225); SPVIAS - Iaras L/O (SP - SP-280); SPVIAS - Itatinga L/O (SP - SP-280); SPVIAS - Quadra L/O (SP - SP-280); AB COLINAS - Boituva L/O (SP - SP-280); AB COLINAS - Itupeva L/O (SP - SP-300); ROTA DAS BANDEIRAS - Jundiaí (SP - SP-360); ROTA DAS BANDEIRAS - Atibaia N/S (SP - SP-065); FERNÃO DIAS - P2-Vargem (SP - BR-381); FERNÃO DIAS - P3-Cambuí (MG - BR-381)</t>
  </si>
  <si>
    <t>COTIA,SP</t>
  </si>
  <si>
    <t>PARANAGUA/COTIA</t>
  </si>
  <si>
    <t>EPR LITORAL PIONEIRO - P1 - São José dos Pinhais (PR - BR-277);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</t>
  </si>
  <si>
    <t>TRES LAGOAS,MS</t>
  </si>
  <si>
    <t>CAMPO GRANDE,MS</t>
  </si>
  <si>
    <t>TRES LAGOAS/CAMPO GRANDE</t>
  </si>
  <si>
    <t>ARAUCARIA/CRUZ ALTA</t>
  </si>
  <si>
    <t>TRES LAGOAS/RIBEIRAO PRETO</t>
  </si>
  <si>
    <t>VIARONDON - Castilho (SP - SP-300); VIARONDON - Guaraçaí (SP - SP-300); VIARONDON - Lavínia (SP - SP-300); VIARONDON - Rubiácea (SP - SP-300); VIARONDON - Glicério (SP - SP-300); VIARONDON - Promissão (SP - SP-300); ENTREVIAS - PONGAÍ (SP - SP-333); FREE FLOW ECONOROESTE - Itápolis - Free Flow (SP - SP-333); ECONOROESTE - Jaboticabal L/O (SP - SP-333); ENTREVIAS - SERTÃOZINHO (SP - SP-322)</t>
  </si>
  <si>
    <t>DOURADOS/ARAUCARIA</t>
  </si>
  <si>
    <t>CCR MSVia - P-03 Caarapó (MS - BR-163); CCR MSVia - P-02  Itaquiraí (MS - BR-163); CCR MSVia - P-01 Mundo Novo (MS - BR-163); VIA ARAUCÁRIA - P3 - Irati (PR - BR-277); VIA ARAUCÁRIA - P2 - Porto Amazonas (PR - BR-277); VIA ARAUCÁRIA - P1 - São Luiz do Purunã (PR - BR-277)</t>
  </si>
  <si>
    <t>ORLANDIA,SP</t>
  </si>
  <si>
    <t>PARANAGUA/ORLANDIA</t>
  </si>
  <si>
    <t>EPR LITORAL PIONEIRO - P1 - São José dos Pinhais (PR - BR-277); RÉGIS BITTENCOURT - Campina Grande do Sul (PR - BR-116); RÉGIS BITTENCOURT - Barra do Turvo (SP - BR-116); RÉGIS BITTENCOURT - Cajati (SP - BR-116); RÉGIS BITTENCOURT - Juquiá (SP - BR-116); RODOVIAS DO TIETÊ - Elias Fausto (SP - SP-308); AUTOBAN - Limeira- Bandeirantes (SP - SP-348); INTERVIAS - Leme (SP - SP-330); INTERVIAS - Pirassununga (SP - SP-330); VIAPAULISTA - Santa Rita do Passa Quatro (SP - SP-330); VIAPAULISTA - São Simão (SP - SP-330); ENTREVIAS - SALES OLIVEIRA (SP - SP-330)</t>
  </si>
  <si>
    <t>SANTO INACIO,PR</t>
  </si>
  <si>
    <t>CIANORTE,PR</t>
  </si>
  <si>
    <t>SANTO INACIO/CIANORTE</t>
  </si>
  <si>
    <t>ESTEIO,RS</t>
  </si>
  <si>
    <t>CIANORTE/ESTEIO</t>
  </si>
  <si>
    <t>CUIABA/RIO VERDE</t>
  </si>
  <si>
    <t>ROTA DO OESTE - P- 4 Santo Antônio do Leverger (MT - BR-364); ROTA DO OESTE - P- 3 Campo Verde (MT - BR-364); ROTA DO OESTE - P- 2  Rondonópolis (MT - BR-364)</t>
  </si>
  <si>
    <t>DUQUE DE CAXIAS,RJ</t>
  </si>
  <si>
    <t>LAPA/DUQUE DE CAXIAS</t>
  </si>
  <si>
    <t>VIA ARAUCÁRIA - P5 - Lapa (PR - BR-476);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Castello Branco Interna (SP - SP-021); ECOPISTAS - Itaquaquecetuba - L/O (SP - SP-070); ECOPISTAS - Guararema - L/O (SP - SP-070); ECOPISTAS - São José dos Campos - L/O (SP - SP-070); ECOPISTAS - Caçapava - L/O (SP - SP-070); CCR RioSP - Moreira César (SP - BR-116); CCR RioSP - Itatiaia (RJ - BR-116); ECO RIOMINAS - Seropédica (Viúva Graça) (RJ - BR-116)</t>
  </si>
  <si>
    <t>SANTO INACIO/ARAUCARIA</t>
  </si>
  <si>
    <t>ARAUCARIA/COTIA</t>
  </si>
  <si>
    <t>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</t>
  </si>
  <si>
    <t>SAO CARLOS DO IVAI,PR</t>
  </si>
  <si>
    <t>SAO CARLOS DO IVAI/CIANORTE</t>
  </si>
  <si>
    <t>ARAUCARIA/PAULINIA</t>
  </si>
  <si>
    <t>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Bandeirantes Externa (SP - SP-021); AUTOBAN - Campo Limpo (SP - SP-348); AUTOBAN - Itupeva (SP - SP-348)</t>
  </si>
  <si>
    <t>RONDONOPOLIS/RIBEIRAO PRETO</t>
  </si>
  <si>
    <t>VIA BRASIL - MT-100 - P2 - Alto Araguaia (MT - MT-100); VIA BRASIL - MT-100 - P1 - Alto Taquari (MT - MT-100); WAY - 306 - P1 - Costa Rica (MS - MS-306); WAY - 306 - P2 - Chapadão do Sul (MS - MS-306); WAY - 306 - P3 - Cassilândia (MS - MS-306); WAY - 112 - P 04 - Paranaíba (MS - BR-158); WAY - 112 - P 05 - Aparecida do Taboado (MS - BR-158); WAY - 112 - P 06 - Aparecida do Taboado (MS - BR-436); ECONOROESTE - Catiguá N/S (SP - SP-310); ECONOROESTE - Agulha N/S (SP - SP-310); ECONOROESTE - Jaboticabal L/O (SP - SP-333); ENTREVIAS - SERTÃOZINHO (SP - SP-322)</t>
  </si>
  <si>
    <t>MUITOS CAPOES,RS</t>
  </si>
  <si>
    <t>ARAUCARIA/MUITOS CAPOES</t>
  </si>
  <si>
    <t>PLANALTO SUL - FAZENDA RIO GRANDE (PR - BR-116); PLANALTO SUL - RIO NEGRO (PR - BR-116); PLANALTO SUL - MONTE CASTELO (SC - BR-116); PLANALTO SUL - SANTA CECÍLIA (SC - BR-116); PLANALTO SUL - CORREIA PINTO (SC - BR-116)</t>
  </si>
  <si>
    <t>JACAREZINHO,PR</t>
  </si>
  <si>
    <t>JACAREZINHO/ITAJAI</t>
  </si>
  <si>
    <t>EPR LITORAL PIONEIRO - P5 - Carambeí (PR - PR-151); VIA ARAUCÁRIA - P1 - São Luiz do Purunã (PR - BR-277); LITORAL SUL - São José dos Pinhais (PR - BR-376); LITORAL SUL - Garuva (SC - BR-101); LITORAL SUL - Araquari (SC - BR-101)</t>
  </si>
  <si>
    <t>SIDROLANDIA,MS</t>
  </si>
  <si>
    <t>SIDROLANDIA/ITAJAI</t>
  </si>
  <si>
    <t>CART - Caiuá (SP - SP-270); CART - Presidente Bernardes (SP - SP-270); VIA ARAUCÁRIA - P1 - São Luiz do Purunã (PR - BR-277); LITORAL SUL - São José dos Pinhais (PR - BR-376); LITORAL SUL - Garuva (SC - BR-101); LITORAL SUL - Araquari (SC - BR-101)</t>
  </si>
  <si>
    <t>UBERABA,MG</t>
  </si>
  <si>
    <t>RONDONOPOLIS/UBERABA</t>
  </si>
  <si>
    <t>ECOVIAS DO CERRADO - P7 - JATAÍ (GO - BR-364); ECOVIAS DO CERRADO - P6 - CACHOEIRA ALTA (GO - BR-364); ECOVIAS DO CERRADO - P5 - PARANAIGUARA (GO - BR-364); ECOVIAS DO CERRADO - P4 - SANTA VITORIA (MG - BR-365); ECOVIAS DO CERRADO - P3 - Ituiutaba (MG - BR-365); ECOVIAS DO CERRADO - P2 - Monte Alegre de Minas (MG - BR-365); ECOVIAS DO CERRADO - P1 - Uberlândia (MG - BR-365); ECO 050 - P05 - UBERABA (MG - BR-050)</t>
  </si>
  <si>
    <t>GUARULHOS,SP</t>
  </si>
  <si>
    <t>ARAUCARIA/GUARULHOS</t>
  </si>
  <si>
    <t>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Castello Branco Interna (SP - SP-021)</t>
  </si>
  <si>
    <t>CUIABA/RIO BRILHANTE</t>
  </si>
  <si>
    <t>ROTA DO OESTE - P- 4 Santo Antônio do Leverger (MT - BR-364); ROTA DO OESTE - P- 3 Campo Verde (MT - BR-364); ROTA DO OESTE - P- 2  Rondonópolis (MT - BR-364); ROTA DO OESTE - P- 1 Itiquira (MT - BR-163); CCR MSVia - P-09 Pedro Gomes (MS - BR-163); CCR MSVia - P-08 Rio Verde de Mato Grosso (MS - BR-163); CCR MSVia - P-07 São Gabriel do Oeste (MS - BR-163); CCR MSVia - P-06 Jaraguari (MS - BR-163); CCR MSVia - P-05 Campo Grande (MS - BR-163)</t>
  </si>
  <si>
    <t>ARAUCARIA/SUMARE</t>
  </si>
  <si>
    <t>ARAUCARIA/PASSO FUNDO</t>
  </si>
  <si>
    <t>DOURADOS/SARANDI</t>
  </si>
  <si>
    <t>TRES LAGOAS/DOURADOS</t>
  </si>
  <si>
    <t>CCR MSVia - P-04 Rio Brilhante (MS - BR-163)</t>
  </si>
  <si>
    <t>ALTO ARAGUAIA,MT</t>
  </si>
  <si>
    <t>PETROPOLIS,RJ</t>
  </si>
  <si>
    <t>ALTO ARAGUAIA/PETROPOLIS</t>
  </si>
  <si>
    <t>VIA BRASIL - MT-100 - P2 - Alto Araguaia (MT - MT-100); VIA BRASIL - MT-100 - P1 - Alto Taquari (MT - MT-100); WAY - 306 - P1 - Costa Rica (MS - MS-306); WAY - 306 - P2 - Chapadão do Sul (MS - MS-306); WAY - 306 - P3 - Cassilândia (MS - MS-306); WAY - 112 - P 04 - Paranaíba (MS - BR-158); WAY - 112 - P 05 - Aparecida do Taboado (MS - BR-158); WAY - 112 - P 06 - Aparecida do Taboado (MS - BR-436); ECONOROESTE - Catiguá N/S (SP - SP-310); ECONOROESTE - Agulha N/S (SP - SP-310); ECONOROESTE - Araraquara N/S (SP - SP-310); EIXO SP - Itirapina (SP - SP-310); EIXO SP - Rio Claro (SP - SP-310); AUTOBAN - Limeira Anhanguera (SP - SP-330); AUTOBAN - Nova Odessa (SP - SP-330); ROTA DAS BANDEIRAS - Itatiba N/S (SP - SP-065); ROTA DAS BANDEIRAS - Atibaia N/S (SP - SP-065); ROTA DAS BANDEIRAS - Igaratá N/S (SP - SP-065); ECOPISTAS - São José dos Campos - L/O (SP - SP-070); ECOPISTAS - Caçapava - L/O (SP - SP-070); CCR RioSP - Moreira César (SP - BR-116); CCR RioSP - Itatiaia (RJ - BR-116); ECO RIOMINAS - Seropédica (Viúva Graça) (RJ - BR-116); CONCER - Xerém (RJ - BR-040)</t>
  </si>
  <si>
    <t>TERRA RICA,PR</t>
  </si>
  <si>
    <t>TERRA RICA/ARAUCARIA</t>
  </si>
  <si>
    <t>COLORADO,PR</t>
  </si>
  <si>
    <t>COLORADO/ARAUCARIA</t>
  </si>
  <si>
    <t>LONDRINA,PR</t>
  </si>
  <si>
    <t>DOURADOS/LONDRINA</t>
  </si>
  <si>
    <t>LAGES,SC</t>
  </si>
  <si>
    <t>DOURADOS/LAGES</t>
  </si>
  <si>
    <t>CCR MSVia - P-03 Caarapó (MS - BR-163); CCR MSVia - P-02  Itaquiraí (MS - BR-163); CCR MSVia - P-01 Mundo Novo (MS - BR-163); PLANALTO SUL - SANTA CECÍLIA (SC - BR-116); PLANALTO SUL - CORREIA PINTO (SC - BR-116)</t>
  </si>
  <si>
    <t>SIDROLANDIA/ESTEIO</t>
  </si>
  <si>
    <t>CCR MSVia - P-03 Caarapó (MS - BR-163); CCR MSVia - P-02  Itaquiraí (MS - BR-163); CCR MSVia - P-01 Mundo Novo (MS - BR-163); CCR VIASUL - P7 - Victor Graeff (RS - BR-290); CCR VIASUL - P6 - Fontoura Xavier (RS - BR-290); CCR VIASUL - P5 - Paverama (RS - BR-290); CCR VIASUL - P4 - Montenegro (RS - BR-290)</t>
  </si>
  <si>
    <t>DOURADOS/ESTEIO</t>
  </si>
  <si>
    <t>BOTUCATU,SP</t>
  </si>
  <si>
    <t>ARAUCARIA/BOTUCATU</t>
  </si>
  <si>
    <t>VIA ARAUCÁRIA - P1 - São Luiz do Purunã (PR - BR-277); EPR LITORAL PIONEIRO - P5 - Carambeí (PR - PR-151); EPR LITORAL PIONEIRO - P6 - Jaguariaíva (PR - PR-151); EPR LITORAL PIONEIRO - Senges (PR - PR-151); VIAPAULISTA - Coronel Macedo (SP - SP-255); VIAPAULISTA - Itaí (SP - SP-255); SPVIAS - Avaré N/S (SP - SP-255)</t>
  </si>
  <si>
    <t>MARACAJU,MS</t>
  </si>
  <si>
    <t>PEROBAL,PR</t>
  </si>
  <si>
    <t>MARACAJU/PEROBAL</t>
  </si>
  <si>
    <t>CCR MSVia - P-03 Caarapó (MS - BR-163); CCR MSVia - P-02  Itaquiraí (MS - BR-163)</t>
  </si>
  <si>
    <t>COLORADO/CIANORTE</t>
  </si>
  <si>
    <t>MARINGA/RIBEIRAO PRETO</t>
  </si>
  <si>
    <t>ENTREVIAS - FLORÍNEA (SP - SP-333); ENTREVIAS - ECHAPORÃ (SP - SP-333); ENTREVIAS - MARÍLIA (SP - SP-333); ENTREVIAS - PONGAÍ (SP - SP-333); FREE FLOW ECONOROESTE - Itápolis - Free Flow (SP - SP-333); ECONOROESTE - Jaboticabal L/O (SP - SP-333); ENTREVIAS - SERTÃOZINHO (SP - SP-322)</t>
  </si>
  <si>
    <t>XAXIM,SC</t>
  </si>
  <si>
    <t>MARIALVA/XAXIM</t>
  </si>
  <si>
    <t>ALTO ARAGUAIA/SANTOS</t>
  </si>
  <si>
    <t>VIA BRASIL - MT-100 - P2 - Alto Araguaia (MT - MT-100); VIA BRASIL - MT-100 - P1 - Alto Taquari (MT - MT-100); WAY - 306 - P1 - Costa Rica (MS - MS-306); WAY - 306 - P2 - Chapadão do Sul (MS - MS-306); WAY - 306 - P3 - Cassilândia (MS - MS-306); WAY - 112 - P 04 - Paranaíba (MS - BR-158); WAY - 112 - P 05 - Aparecida do Taboado (MS - BR-158); WAY - 112 - P 06 - Aparecida do Taboado (MS - BR-436); ECONOROESTE - Catiguá N/S (SP - SP-310); ECONOROESTE - Agulha N/S (SP - SP-310); ECONOROESTE - Araraquara N/S (SP - SP-310); EIXO SP - Itirapina (SP - SP-310); EIXO SP - Rio Claro (SP - SP-310); AUTOBAN - Limeira- Bandeirantes (SP - SP-348); AUTOBAN - Sumaré (SP - SP-348); AUTOBAN - Itupeva (SP - SP-348); AUTOBAN - Caieiras (SP - SP-348); RODOANEL OESTE - Régis Bittencourt (SP - SP-021); SPMAR - P5 - Anchieta (SP - SP-021); ECOVIAS DOS IMIGRANTES - Riacho Grande S (SP - SP-150)</t>
  </si>
  <si>
    <t>JACAREZINHO/ARAUCARIA</t>
  </si>
  <si>
    <t>EPR LITORAL PIONEIRO - P5 - Carambeí (PR - PR-151); VIA ARAUCÁRIA - P1 - São Luiz do Purunã (PR - BR-277)</t>
  </si>
  <si>
    <t>IVINHEMA,MS</t>
  </si>
  <si>
    <t>IVINHEMA/PEROBAL</t>
  </si>
  <si>
    <t>CCR MSVia - P-02  Itaquiraí (MS - BR-163)</t>
  </si>
  <si>
    <t>DOURADOS/PARANAGUA</t>
  </si>
  <si>
    <t>CCR MSVia - P-03 Caarapó (MS - BR-163); CCR MSVia - P-02  Itaquiraí (MS - BR-163); CCR MSVia - P-01 Mundo Novo (MS - BR-163); VIA ARAUCÁRIA - P3 - Irati (PR - BR-277); VIA ARAUCÁRIA - P2 - Porto Amazonas (PR - BR-277); VIA ARAUCÁRIA - P1 - São Luiz do Purunã (PR - BR-277); EPR LITORAL PIONEIRO - P1 - São José dos Pinhais (PR - BR-277)</t>
  </si>
  <si>
    <t>PEROBAL/ARAUCARIA</t>
  </si>
  <si>
    <t>VIA ARAUCÁRIA - P3 - Irati (PR - BR-277); VIA ARAUCÁRIA - P2 - Porto Amazonas (PR - BR-277); VIA ARAUCÁRIA - P1 - São Luiz do Purunã (PR - BR-277)</t>
  </si>
  <si>
    <t>IJUI,RS</t>
  </si>
  <si>
    <t>SIDROLANDIA/PAULINIA</t>
  </si>
  <si>
    <t>CART - Caiuá (SP - SP-270); CART - Presidente Bernardes (SP - SP-270); CART - Regente Feijó (SP - SP-270); CART - Rancharia (SP - SP-270); CART - Assis (SP - SP-270); CART - Palmital (SP - SP-270); CART - Ourinhos (SP - SP-327); CART - Santa Cruz do Rio Pardo (SP - SP-225); SPVIAS - Iaras L/O (SP - SP-280); SPVIAS - Itatinga L/O (SP - SP-280); SPVIAS - Quadra L/O (SP - SP-280); AB COLINAS - Boituva L/O (SP - SP-280); AB COLINAS - Indaiatuba N/S (SP - SP-075)</t>
  </si>
  <si>
    <t>TAPEJARA,PR</t>
  </si>
  <si>
    <t>TAPEJARA/CANOAS</t>
  </si>
  <si>
    <t>CCR VIASUL - P7 - Victor Graeff (RS - BR-290); CCR VIASUL - P6 - Fontoura Xavier (RS - BR-290); CCR VIASUL - P5 - Paverama (RS - BR-290); CCR VIASUL - P4 - Montenegro (RS - BR-290)</t>
  </si>
  <si>
    <t>PEDRA PRETA/PAULINIA</t>
  </si>
  <si>
    <t>VIA BRASIL - MT-100 - P2 - Alto Araguaia (MT - MT-100); VIA BRASIL - MT-100 - P1 - Alto Taquari (MT - MT-100); WAY - 306 - P1 - Costa Rica (MS - MS-306); WAY - 306 - P2 - Chapadão do Sul (MS - MS-306); WAY - 306 - P3 - Cassilândia (MS - MS-306); WAY - 112 - P 04 - Paranaíba (MS - BR-158); WAY - 112 - P 05 - Aparecida do Taboado (MS - BR-158); WAY - 112 - P 06 - Aparecida do Taboado (MS - BR-436); ECONOROESTE - Catiguá N/S (SP - SP-310); ECONOROESTE - Agulha N/S (SP - SP-310); ECONOROESTE - Araraquara N/S (SP - SP-310); EIXO SP - Itirapina (SP - SP-310); EIXO SP - Rio Claro (SP - SP-310); AUTOBAN - Limeira Anhanguera (SP - SP-330); ROTA DAS BANDEIRAS - Paulínia A - N/S (SP - SP-332)</t>
  </si>
  <si>
    <t>OURINHOS,SP</t>
  </si>
  <si>
    <t>SANTOS/OURINHOS</t>
  </si>
  <si>
    <t>SPMAR - P1 - Parelheiros (SP - SP-021); RODOANEL OESTE - Castello Branco Interna (SP - SP-021); ECOVIAS RAPOSO CASTELLO - Itapevi (SP - SP-280); AB COLINAS - Boituva L/O (SP - SP-280); SPVIAS - Quadra L/O (SP - SP-280); SPVIAS - Itatinga L/O (SP - SP-280); SPVIAS - Iaras L/O (SP - SP-280); CART - Santa Cruz do Rio Pardo (SP - SP-225); CART - Ourinhos (SP - SP-327)</t>
  </si>
  <si>
    <t>PRESIDENTE PRUDENTE,SP</t>
  </si>
  <si>
    <t>SANTOS/PRESIDENTE PRUDENTE</t>
  </si>
  <si>
    <t>SPMAR - P1 - Parelheiros (SP - SP-021); RODOANEL OESTE - Castello Branco Interna (SP - SP-021); ECOVIAS RAPOSO CASTELLO - Itapevi (SP - SP-280); AB COLINAS - Boituva L/O (SP - SP-280); SPVIAS - Quadra L/O (SP - SP-280); SPVIAS - Itatinga L/O (SP - SP-280); SPVIAS - Iaras L/O (SP - SP-280); CART - Santa Cruz do Rio Pardo (SP - SP-225); CART - Ourinhos (SP - SP-327); CART - Palmital (SP - SP-270); CART - Assis (SP - SP-270); CART - Rancharia (SP - SP-270); CART - Regente Feijó (SP - SP-270)</t>
  </si>
  <si>
    <t>BARUERI,SP</t>
  </si>
  <si>
    <t>RONDONOPOLIS/BARUERI</t>
  </si>
  <si>
    <t>VIA BRASIL - MT-100 - P2 - Alto Araguaia (MT - MT-100); VIA BRASIL - MT-100 - P1 - Alto Taquari (MT - MT-100); WAY - 306 - P1 - Costa Rica (MS - MS-306); WAY - 306 - P2 - Chapadão do Sul (MS - MS-306); WAY - 306 - P3 - Cassilândia (MS - MS-306); WAY - 112 - P 04 - Paranaíba (MS - BR-158); WAY - 112 - P 05 - Aparecida do Taboado (MS - BR-158); WAY - 112 - P 06 - Aparecida do Taboado (MS - BR-436); ECONOROESTE - Catiguá N/S (SP - SP-310); ECONOROESTE - Agulha N/S (SP - SP-310); ECONOROESTE - Araraquara N/S (SP - SP-310); EIXO SP - Itirapina (SP - SP-310); EIXO SP - Rio Claro (SP - SP-310); AUTOBAN - Limeira- Bandeirantes (SP - SP-348); AUTOBAN - Sumaré (SP - SP-348); AUTOBAN - Itupeva (SP - SP-348); AUTOBAN - Caieiras (SP - SP-348); RODOANEL OESTE - Castello Branco Externa (SP - SP-021)</t>
  </si>
  <si>
    <t>PAULINIA/GUARULHOS</t>
  </si>
  <si>
    <t>AUTOBAN - Itupeva (SP - SP-348); AUTOBAN - Caieiras (SP - SP-348)</t>
  </si>
  <si>
    <t>RESENDE,RJ</t>
  </si>
  <si>
    <t>COTIA/RESENDE</t>
  </si>
  <si>
    <t>RODOANEL OESTE - Castello Branco Interna (SP - SP-021); ECOPISTAS - Itaquaquecetuba - L/O (SP - SP-070); ECOPISTAS - Guararema - L/O (SP - SP-070); ECOPISTAS - São José dos Campos - L/O (SP - SP-070); ECOPISTAS - Caçapava - L/O (SP - SP-070); CCR RioSP - Moreira César (SP - BR-116); CCR RioSP - Itatiaia (RJ - BR-116)</t>
  </si>
  <si>
    <t>BAURU,SP</t>
  </si>
  <si>
    <t>GUARULHOS/BAURU</t>
  </si>
  <si>
    <t>ECOVIAS RAPOSO CASTELLO - Osasco (SP - SP-280); ECOVIAS RAPOSO CASTELLO - Itapevi (SP - SP-280); AB COLINAS - Boituva L/O (SP - SP-280); SPVIAS - Quadra L/O (SP - SP-280); SPVIAS - Itatinga L/O (SP - SP-280); RODOVIAS DO TIETÊ - Botucatu (SP - SP-300); RODOVIAS DO TIETÊ - Areiópolis (SP - SP-300); RODOVIAS DO TIETÊ - Lençois Paulista (SP - SP-300)</t>
  </si>
  <si>
    <t>PARAGUACU PAULISTA,SP</t>
  </si>
  <si>
    <t>PARAGUACU PAULISTA/GUARULHOS</t>
  </si>
  <si>
    <t>EIXO SP - Paraguaçu Paulista (SP - SP-284); CART - Palmital (SP - SP-270); CART - Ourinhos (SP - SP-327); CART - Santa Cruz do Rio Pardo (SP - SP-225); SPVIAS - Iaras L/O (SP - SP-280); SPVIAS - Itatinga L/O (SP - SP-280); SPVIAS - Quadra L/O (SP - SP-280); AB COLINAS - Boituva L/O (SP - SP-280); CCR SOROCABANA - Itu (SP - SP-280); ECOVIAS RAPOSO CASTELLO - Barueri (SP - SP-280)</t>
  </si>
  <si>
    <t>TARUMA,SP</t>
  </si>
  <si>
    <t>CHAPECO,SC</t>
  </si>
  <si>
    <t>TARUMA/CHAPECO</t>
  </si>
  <si>
    <t>ENTREVIAS - FLORÍNEA (SP - SP-333)</t>
  </si>
  <si>
    <t>GUARULHOS/RONDONOPOLIS</t>
  </si>
  <si>
    <t>AUTOBAN - Campo Limpo (SP - SP-348); AUTOBAN - Itupeva (SP - SP-348); AUTOBAN - Sumaré (SP - SP-348); AUTOBAN - Limeira- Bandeirantes (SP - SP-348); EIXO SP - Rio Claro (SP - SP-310); EIXO SP - Itirapina (SP - SP-310); ECONOROESTE - Araraquara N/S (SP - SP-310); ECONOROESTE - Agulha N/S (SP - SP-310); ECONOROESTE - Catiguá N/S (SP - SP-310); WAY - 112 - P 06 - Aparecida do Taboado (MS - BR-436); WAY - 112 - P 05 - Aparecida do Taboado (MS - BR-158); WAY - 112 - P 04 - Paranaíba (MS - BR-158); WAY - 306 - P3 - Cassilândia (MS - MS-306); WAY - 306 - P2 - Chapadão do Sul (MS - MS-306); WAY - 306 - P1 - Costa Rica (MS - MS-306); VIA BRASIL - MT-100 - P1 - Alto Taquari (MT - MT-100); VIA BRASIL - MT-100 - P2 - Alto Araguaia (MT - MT-100)</t>
  </si>
  <si>
    <t>SAO PAULO,SP</t>
  </si>
  <si>
    <t>SAO PAULO/SAO BERNARDO DO CAMPO</t>
  </si>
  <si>
    <t>MARACAI,SP</t>
  </si>
  <si>
    <t>MARACAI/LAGES</t>
  </si>
  <si>
    <t>CART - Assis (SP - SP-270); CART - Palmital (SP - SP-270); EPR LITORAL PIONEIRO - P3 - Jacarezinho (PR - BR-369); VIA ARAUCÁRIA - P4 - Imbituva (PR - BR-373); PLANALTO SUL - SANTA CECÍLIA (SC - BR-116); PLANALTO SUL - CORREIA PINTO (SC - BR-116)</t>
  </si>
  <si>
    <t>PAULINIA/PRESIDENTE PRUDENTE</t>
  </si>
  <si>
    <t>AB COLINAS - Indaiatuba N/S (SP - SP-075); AB COLINAS - Boituva L/O (SP - SP-280); SPVIAS - Quadra L/O (SP - SP-280); SPVIAS - Itatinga L/O (SP - SP-280); SPVIAS - Iaras L/O (SP - SP-280); CART - Santa Cruz do Rio Pardo (SP - SP-225); CART - Ourinhos (SP - SP-327); CART - Palmital (SP - SP-270); CART - Assis (SP - SP-270); CART - Rancharia (SP - SP-270); CART - Regente Feijó (SP - SP-270)</t>
  </si>
  <si>
    <t>BARUERI/RIO VERDE</t>
  </si>
  <si>
    <t>AUTOBAN - Itupeva (SP - SP-348); AUTOBAN - Sumaré (SP - SP-348); AUTOBAN - Limeira- Bandeirantes (SP - SP-348); EIXO SP - Rio Claro (SP - SP-310); EIXO SP - Itirapina (SP - SP-310); ECONOROESTE - Araraquara N/S (SP - SP-310); ECONOROESTE - Dobrada N/S (SP - SP-326); ECONOROESTE - Taiuva N/S (SP - SP-326); ECONOROESTE - Colina N/S (SP - SP-326); CONCEBRA - 05 - Prata (MG - BR-153)</t>
  </si>
  <si>
    <t>MACAE,RJ</t>
  </si>
  <si>
    <t>COTIA/MACAE</t>
  </si>
  <si>
    <t>RODOANEL OESTE - Castello Branco Interna (SP - SP-021); ECOPISTAS - Itaquaquecetuba - L/O (SP - SP-070); ECOPISTAS - Guararema - L/O (SP - SP-070); ECOPISTAS - São José dos Campos - L/O (SP - SP-070); ECOPISTAS - Caçapava - L/O (SP - SP-070); CCR RioSP - Moreira César (SP - BR-116); CCR RioSP - Itatiaia (RJ - BR-116); ECO RIOMINAS - Seropédica (Viúva Graça) (RJ - BR-116); ECOPONTE - PONTE RIO-NITERÓI (RJ - BR-101); FLUMINENSE - Rio Bonito (RJ - BR-101); FLUMINENSE - Casimiro de Abreu (RJ - BR-101)</t>
  </si>
  <si>
    <t>SUMARE/ARAUCARIA</t>
  </si>
  <si>
    <t>AUTOBAN - Itupeva (SP - SP-348); AUTOBAN - Caieiras (SP - SP-348); RODOANEL OESTE - Régis Bittencourt (SP - SP-021); RÉGIS BITTENCOURT - São Lourenço da Serra (SP - BR-116); RÉGIS BITTENCOURT - Miracatu (SP - BR-116); RÉGIS BITTENCOURT - Juquiá (SP - BR-116); RÉGIS BITTENCOURT - Cajati (SP - BR-116); RÉGIS BITTENCOURT - Barra do Turvo (SP - BR-116); RÉGIS BITTENCOURT - Campina Grande do Sul (PR - BR-116)</t>
  </si>
  <si>
    <t>TARUMA/PEROBAL</t>
  </si>
  <si>
    <t>CUBATAO/BARUERI</t>
  </si>
  <si>
    <t>SPMAR - P1 - Parelheiros (SP - SP-021); RODOANEL OESTE - Castello Branco Interna (SP - SP-021)</t>
  </si>
  <si>
    <t>ASSIS,SP</t>
  </si>
  <si>
    <t>PAULINIA/ASSIS</t>
  </si>
  <si>
    <t>AB COLINAS - Indaiatuba N/S (SP - SP-075); AB COLINAS - Boituva L/O (SP - SP-280); SPVIAS - Quadra L/O (SP - SP-280); SPVIAS - Itatinga L/O (SP - SP-280); SPVIAS - Iaras L/O (SP - SP-280); CART - Santa Cruz do Rio Pardo (SP - SP-225); CART - Ourinhos (SP - SP-327); CART - Palmital (SP - SP-270)</t>
  </si>
  <si>
    <t>PAULINIA/RIBEIRAO PRETO</t>
  </si>
  <si>
    <t>AUTOBAN - Nova Odessa (SP - SP-330); AUTOBAN - Limeira Anhanguera (SP - SP-330); INTERVIAS - Leme (SP - SP-330); INTERVIAS - Pirassununga (SP - SP-330); VIAPAULISTA - Santa Rita do Passa Quatro (SP - SP-330); VIAPAULISTA - São Simão (SP - SP-330)</t>
  </si>
  <si>
    <t>PIRACICABA,SP</t>
  </si>
  <si>
    <t>PIRACICABA/PAULINIA</t>
  </si>
  <si>
    <t>AUTOBAN - Nova Odessa (SP - SP-330)</t>
  </si>
  <si>
    <t>PIRASSUNUNGA,SP</t>
  </si>
  <si>
    <t>PIRASSUNUNGA/SAO PAULO</t>
  </si>
  <si>
    <t>INTERVIAS - Leme (SP - SP-330); AUTOBAN - Limeira- Bandeirantes (SP - SP-348); AUTOBAN - Sumaré (SP - SP-348); AUTOBAN - Itupeva (SP - SP-348); AUTOBAN - Caieiras (SP - SP-348)</t>
  </si>
  <si>
    <t>CAMARGO,RS</t>
  </si>
  <si>
    <t>ERECHIM/PAULINIA</t>
  </si>
  <si>
    <t>VIA ARAUCÁRIA - P4 - Imbituva (PR - BR-373); EPR LITORAL PIONEIRO - P5 - Carambeí (PR - PR-151); EPR LITORAL PIONEIRO - P6 - Jaguariaíva (PR - PR-151); EPR LITORAL PIONEIRO - Senges (PR - PR-151); SPVIAS - Itararé L/O (SP - SP-258); SPVIAS - Buri L/O (SP - SP-258); SPVIAS - Gramadão N/S (SP - SP-127); SPVIAS - Alambari L/O (SP - SP-270); CCR SOROCABANA - Araçoiaba (SP - SP-270); AB COLINAS - Indaiatuba N/S (SP - SP-075)</t>
  </si>
  <si>
    <t>IJUI/ARAUCARIA</t>
  </si>
  <si>
    <t>EGR - Coxilha (RS - ERS-135); VIA ARAUCÁRIA - P5 - Lapa (PR - BR-476)</t>
  </si>
  <si>
    <t>IJUI/CRUZ ALTA</t>
  </si>
  <si>
    <t>EGR - Coxilha (RS - ERS-135); VIA ARAUCÁRIA - P4 - Imbituva (PR - BR-373); EPR LITORAL PIONEIRO - P5 - Carambeí (PR - PR-151); EPR LITORAL PIONEIRO - P6 - Jaguariaíva (PR - PR-151); EPR LITORAL PIONEIRO - Senges (PR - PR-151); SPVIAS - Itararé L/O (SP - SP-258); SPVIAS - Buri L/O (SP - SP-258); SPVIAS - Gramadão N/S (SP - SP-127); SPVIAS - Alambari L/O (SP - SP-270); CCR SOROCABANA - Araçoiaba (SP - SP-270); AB COLINAS - Indaiatuba N/S (SP - SP-075)</t>
  </si>
  <si>
    <t>GUARAMIRIM,SC</t>
  </si>
  <si>
    <t>MUITOS CAPOES/GUARAMIRIM</t>
  </si>
  <si>
    <t>IJUI/SAO JOSE DOS CAMPOS</t>
  </si>
  <si>
    <t>EGR - Coxilha (RS - ERS-135); VIA ARAUCÁRIA - P5 - Lapa (PR - BR-476);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Castello Branco Interna (SP - SP-021); CCR RioSP - Arujá N/S (SP - BR-116); CCR RioSP - Guararema N/S (SP - BR-116); CCR RioSP - Jacareí (SP - BR-116)</t>
  </si>
  <si>
    <t>IJUI/GUARAMIRIM</t>
  </si>
  <si>
    <t>EGR - Coxilha (RS - ERS-135)</t>
  </si>
  <si>
    <t>IJUI/SANTA MARIA</t>
  </si>
  <si>
    <t>IJUI/CAMPO GRANDE</t>
  </si>
  <si>
    <t>CCR MSVia - P-01 Mundo Novo (MS - BR-163); CCR MSVia - P-02  Itaquiraí (MS - BR-163); CCR MSVia - P-03 Caarapó (MS - BR-163); CCR MSVia - P-04 Rio Brilhante (MS - BR-163); CCR MSVia - P-05 Campo Grande (MS - BR-163)</t>
  </si>
  <si>
    <t>MUITOS CAPOES/ESTEIO</t>
  </si>
  <si>
    <t>CSG - Free Flow - BSO 01 - Ipê (RS - ERS-122); CSG - Free Flow - BSO 02 - Antonio Prado (RS - ERS-122); CSG - Free Flow - BSO 03 - Farroupilha (RS - ERS-122); CSG - Free Flow - São Sebastião do Caí (RS - ERS-122)</t>
  </si>
  <si>
    <t>ERECHIM/ARAUCARIA</t>
  </si>
  <si>
    <t>PLANALTO SUL - CORREIA PINTO (SC - BR-116); PLANALTO SUL - SANTA CECÍLIA (SC - BR-116); PLANALTO SUL - MONTE CASTELO (SC - BR-116); PLANALTO SUL - RIO NEGRO (PR - BR-116); PLANALTO SUL - FAZENDA RIO GRANDE (PR - BR-116)</t>
  </si>
  <si>
    <t>MUITOS CAPOES/PAULINIA</t>
  </si>
  <si>
    <t>PLANALTO SUL - CORREIA PINTO (SC - BR-116); PLANALTO SUL - SANTA CECÍLIA (SC - BR-116); PLANALTO SUL - MONTE CASTELO (SC - BR-116); PLANALTO SUL - RIO NEGRO (PR - BR-116); PLANALTO SUL - FAZENDA RIO GRANDE (PR - BR-116);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Bandeirantes Externa (SP - SP-021); AUTOBAN - Campo Limpo (SP - SP-348); AUTOBAN - Itupeva (SP - SP-348)</t>
  </si>
  <si>
    <t>VERANOPOLIS,RS</t>
  </si>
  <si>
    <t>VERANOPOLIS/PAULINIA</t>
  </si>
  <si>
    <t>CSG - Free Flow - BSO 01 - Ipê (RS - ERS-122); PLANALTO SUL - CORREIA PINTO (SC - BR-116); PLANALTO SUL - SANTA CECÍLIA (SC - BR-116); PLANALTO SUL - MONTE CASTELO (SC - BR-116); PLANALTO SUL - RIO NEGRO (PR - BR-116); PLANALTO SUL - FAZENDA RIO GRANDE (PR - BR-116);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Bandeirantes Externa (SP - SP-021); AUTOBAN - Campo Limpo (SP - SP-348); AUTOBAN - Itupeva (SP - SP-348)</t>
  </si>
  <si>
    <t>CAMARGO/PAULINIA</t>
  </si>
  <si>
    <t>CANOAS/CRUZ ALTA</t>
  </si>
  <si>
    <t>CCR VIASUL - P4 - Montenegro (RS - BR-290); CCR VIASUL - P5 - Paverama (RS - BR-290); CCR VIASUL - P6 - Fontoura Xavier (RS - BR-290)</t>
  </si>
  <si>
    <t>CAMARGO/ARAUCARIA</t>
  </si>
  <si>
    <t>CANOAS/ARAUCARIA</t>
  </si>
  <si>
    <t>CCR VIASUL - P3 - Gravataí (RS - BR-290); CCR VIASUL - P2 - Santo Antonio da Patrulha (RS - BR-290); CCR VIASUL - P1 - Três Cachoeiras (RS - BR-290); CCR VIA COSTEIRA - P4 - São João do Sul (SC - BR-101); CCR VIA COSTEIRA - P3 - Araranguá (SC - BR-101); CCR VIA COSTEIRA - P2 - Tubarão (SC - BR-101); CCR VIA COSTEIRA - P1 - Laguna (SC - BR-101); LITORAL SUL - Palhoça (SC - BR-101); LITORAL SUL - Porto Belo (SC - BR-101); LITORAL SUL - Araquari (SC - BR-101); LITORAL SUL - Garuva (SC - BR-101); LITORAL SUL - São José dos Pinhais (PR - BR-376)</t>
  </si>
  <si>
    <t>RIO GRANDE,RS</t>
  </si>
  <si>
    <t>CAMARGO/RIO GRANDE</t>
  </si>
  <si>
    <t>ECOSUL - Glória (RS - BR-392); ECOSUL - Capão Seco (RS - BR-392)</t>
  </si>
  <si>
    <t>CANOAS/PASSO FUNDO</t>
  </si>
  <si>
    <t>IJUI/ITAJAI</t>
  </si>
  <si>
    <t>PASSO FUNDO/ARAUCARIA</t>
  </si>
  <si>
    <t>PASSO FUNDO/GUARAMIRIM</t>
  </si>
  <si>
    <t>LAPA/GUARULHOS</t>
  </si>
  <si>
    <t>VIA ARAUCÁRIA - P5 - Lapa (PR - BR-476);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Castello Branco Interna (SP - SP-021)</t>
  </si>
  <si>
    <t>LAPA/ITAJAI</t>
  </si>
  <si>
    <t>ARAUCARIA/CIANORTE</t>
  </si>
  <si>
    <t>PAULINIA/ARAUCARIA</t>
  </si>
  <si>
    <t>MARINGA/PAULINIA</t>
  </si>
  <si>
    <t>EPR LITORAL PIONEIRO - P3 - Jacarezinho (PR - BR-369); CART - Ourinhos (SP - SP-327); CART - Santa Cruz do Rio Pardo (SP - SP-225); SPVIAS - Iaras L/O (SP - SP-280); SPVIAS - Itatinga L/O (SP - SP-280); SPVIAS - Quadra L/O (SP - SP-280); AB COLINAS - Boituva L/O (SP - SP-280); AB COLINAS - Indaiatuba N/S (SP - SP-075)</t>
  </si>
  <si>
    <t>PARANAGUA/CHAPECO</t>
  </si>
  <si>
    <t>VIA ARAUCÁRIA - P1 - São Luiz do Purunã (PR - BR-277); EPR LITORAL PIONEIRO - P1 - São José dos Pinhais (PR - BR-277)</t>
  </si>
  <si>
    <t>PARANAGUA/ARAUCARIA</t>
  </si>
  <si>
    <t>EPR LITORAL PIONEIRO - P1 - São José dos Pinhais (PR - BR-277)</t>
  </si>
  <si>
    <t>NOVA ESPERANCA,PR</t>
  </si>
  <si>
    <t>ARAUCARIA/NOVA ESPERANCA</t>
  </si>
  <si>
    <t>JUSSARA,PR</t>
  </si>
  <si>
    <t>JUSSARA/ARAUCARIA</t>
  </si>
  <si>
    <t>JACAREZINHO/CIANORTE</t>
  </si>
  <si>
    <t>LAPA/PAULINIA</t>
  </si>
  <si>
    <t>VIA ARAUCÁRIA - P5 - Lapa (PR - BR-476);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Bandeirantes Externa (SP - SP-021); AUTOBAN - Campo Limpo (SP - SP-348); AUTOBAN - Itupeva (SP - SP-348)</t>
  </si>
  <si>
    <t>PARANAGUA/CAMARGO</t>
  </si>
  <si>
    <t>MARACAJU/PASSO FUNDO</t>
  </si>
  <si>
    <t>CCR MSVia - P-03 Caarapó (MS - BR-163); CCR MSVia - P-02  Itaquiraí (MS - BR-163); CCR MSVia - P-01 Mundo Novo (MS - BR-163)</t>
  </si>
  <si>
    <t>SIDROLANDIA/ARAUCARIA</t>
  </si>
  <si>
    <t>CART - Caiuá (SP - SP-270); CART - Presidente Bernardes (SP - SP-270); VIA ARAUCÁRIA - P1 - São Luiz do Purunã (PR - BR-277)</t>
  </si>
  <si>
    <t>PARANAGUA/ALTO ARAGUAIA</t>
  </si>
  <si>
    <t>EPR LITORAL PIONEIRO - P1 - São José dos Pinhais (PR - BR-277); VIA ARAUCÁRIA - P1 - São Luiz do Purunã (PR - BR-277); CART - Presidente Bernardes (SP - SP-270); WAY - 112 - P 07 Aparecida do Taboado (MS - BR-158); WAY - 112 - P 05 - Aparecida do Taboado (MS - BR-158); WAY - 112 - P 04 - Paranaíba (MS - BR-158); WAY - 306 - P3 - Cassilândia (MS - MS-306); WAY - 306 - P2 - Chapadão do Sul (MS - MS-306); WAY - 306 - P1 - Costa Rica (MS - MS-306); VIA BRASIL - MT-100 - P1 - Alto Taquari (MT - MT-100); VIA BRASIL - MT-100 - P2 - Alto Araguaia (MT - MT-100)</t>
  </si>
  <si>
    <t>TRES LAGOAS/PAULINIA</t>
  </si>
  <si>
    <t>VIARONDON - Castilho (SP - SP-300); VIARONDON - Guaraçaí (SP - SP-300); VIARONDON - Lavínia (SP - SP-300); VIARONDON - Rubiácea (SP - SP-300); VIARONDON - Glicério (SP - SP-300); VIARONDON - Promissão (SP - SP-300); VIARONDON - Pirajuí (SP - SP-300); VIARONDON - Avaí (SP - SP-300); RODOVIAS DO TIETÊ - Lençois Paulista (SP - SP-300); RODOVIAS DO TIETÊ - Areiópolis (SP - SP-300); EIXO SP - São Pedro II (SP - SP-304); EIXO SP - São Pedro (SP - SP-304); AUTOBAN - Nova Odessa (SP - SP-330)</t>
  </si>
  <si>
    <t>ARAUCARIA/ITAJAI</t>
  </si>
  <si>
    <t>LITORAL SUL - São José dos Pinhais (PR - BR-376); LITORAL SUL - Garuva (SC - BR-101); LITORAL SUL - Araquari (SC - BR-101)</t>
  </si>
  <si>
    <t>NOVA ESPERANCA/ARAUCARIA</t>
  </si>
  <si>
    <t>MARINGA/ARAUCARIA</t>
  </si>
  <si>
    <t>CIANORTE/ARAUCARIA</t>
  </si>
  <si>
    <t>ASTORGA,PR</t>
  </si>
  <si>
    <t>ASTORGA/CIANORTE</t>
  </si>
  <si>
    <t>EPR LITORAL PIONEIRO - P1 - São José dos Pinhais (PR - BR-277); PLANALTO SUL - FAZENDA RIO GRANDE (PR - BR-116); PLANALTO SUL - RIO NEGRO (PR - BR-116); PLANALTO SUL - MONTE CASTELO (SC - BR-116); PLANALTO SUL - SANTA CECÍLIA (SC - BR-116); PLANALTO SUL - CORREIA PINTO (SC - BR-116)</t>
  </si>
  <si>
    <t>CORONEL BARROS,RS</t>
  </si>
  <si>
    <t>ARAUCARIA/CORONEL BARROS</t>
  </si>
  <si>
    <t>MARACAJU/CANOAS</t>
  </si>
  <si>
    <t>NOVA LONDRINA,PR</t>
  </si>
  <si>
    <t>NOVA LONDRINA/ARAUCARIA</t>
  </si>
  <si>
    <t>PONTA GROSSA,PR</t>
  </si>
  <si>
    <t>LAPA/PONTA GROSSA</t>
  </si>
  <si>
    <t>VIA ARAUCÁRIA - P2 - Porto Amazonas (PR - BR-277)</t>
  </si>
  <si>
    <t>ARAUCARIA/LAGES</t>
  </si>
  <si>
    <t>ARAUCARIA/CAMPO GRANDE</t>
  </si>
  <si>
    <t>VIA ARAUCÁRIA - P1 - São Luiz do Purunã (PR - BR-277); CART - Presidente Bernardes (SP - SP-270); CART - Caiuá (SP - SP-270); CCR MSVia - P-05 Campo Grande (MS - BR-163)</t>
  </si>
  <si>
    <t>MARIALVA/MARIALVA</t>
  </si>
  <si>
    <t>COROADOS,SP</t>
  </si>
  <si>
    <t>PARANAGUA/COROADOS</t>
  </si>
  <si>
    <t>EPR LITORAL PIONEIRO - P1 - São José dos Pinhais (PR - BR-277); VIA ARAUCÁRIA - P1 - São Luiz do Purunã (PR - BR-277); EPR LITORAL PIONEIRO - P5 - Carambeí (PR - PR-151); EPR LITORAL PIONEIRO - P3 - Jacarezinho (PR - BR-369); TRANSBRASILIANA - Marília (SP - BR-153); ENTREVIAS - MARÍLIA (SP - SP-333); TRANSBRASILIANA - Lins (SP - BR-153); VIARONDON - Promissão (SP - SP-300); VIARONDON - Glicério (SP - SP-300)</t>
  </si>
  <si>
    <t>LAPA/SAO JOSE DOS CAMPOS</t>
  </si>
  <si>
    <t>VIA ARAUCÁRIA - P5 - Lapa (PR - BR-476);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Castello Branco Interna (SP - SP-021); CCR RioSP - Arujá N/S (SP - BR-116); CCR RioSP - Guararema N/S (SP - BR-116); CCR RioSP - Jacareí (SP - BR-116)</t>
  </si>
  <si>
    <t>CAMPO NOVO DO PARECIS,MT</t>
  </si>
  <si>
    <t>CAMPO NOVO DO PARECIS/GUARULHOS</t>
  </si>
  <si>
    <t>VIA BRASIL MT-246 - P4 (MT - MT-358); VIA BRASIL MT-246 - P3 (MT - MT-358); VIA BRASIL MT-246 - P2 (MT - MT-343); VIA BRASIL MT-246 - P1 (MT - MT-246); ROTA DO OESTE - P- 5 Jangada (MT - BR-364); ROTA DO OESTE - P- 4 Santo Antônio do Leverger (MT - BR-364); ROTA DO OESTE - P- 3 Campo Verde (MT - BR-364); ROTA DO OESTE - P- 2  Rondonópolis (MT - BR-364); VIA BRASIL - MT-100 - P2 - Alto Araguaia (MT - MT-100); VIA BRASIL - MT-100 - P1 - Alto Taquari (MT - MT-100); WAY - 306 - P1 - Costa Rica (MS - MS-306); WAY - 306 - P2 - Chapadão do Sul (MS - MS-306); WAY - 306 - P3 - Cassilândia (MS - MS-306); WAY - 112 - P 04 - Paranaíba (MS - BR-158); WAY - 112 - P 05 - Aparecida do Taboado (MS - BR-158); WAY - 112 - P 06 - Aparecida do Taboado (MS - BR-436); ECONOROESTE - Catiguá N/S (SP - SP-310); ECONOROESTE - Agulha N/S (SP - SP-310); ECONOROESTE - Araraquara N/S (SP - SP-310); EIXO SP - Itirapina (SP - SP-310); EIXO SP - Rio Claro (SP - SP-310); AUTOBAN - Limeira- Bandeirantes (SP - SP-348); AUTOBAN - Sumaré (SP - SP-348); AUTOBAN - Itupeva (SP - SP-348); AUTOBAN - Caieiras (SP - SP-348)</t>
  </si>
  <si>
    <t>PARANACITY,PR</t>
  </si>
  <si>
    <t>PARANACITY/ARAUCARIA</t>
  </si>
  <si>
    <t>UMUARAMA,PR</t>
  </si>
  <si>
    <t>ARAUCARIA/UMUARAMA</t>
  </si>
  <si>
    <t>VIA ARAUCÁRIA - P1 - São Luiz do Purunã (PR - BR-277); VIA ARAUCÁRIA - P2 - Porto Amazonas (PR - BR-277); VIA ARAUCÁRIA - P3 - Irati (PR - BR-277)</t>
  </si>
  <si>
    <t>VARZEA GRANDE/ARAUCARIA</t>
  </si>
  <si>
    <t>ROTA DO OESTE - P- 4 Santo Antônio do Leverger (MT - BR-364); ROTA DO OESTE - P- 3 Campo Verde (MT - BR-364); ROTA DO OESTE - P- 2  Rondonópolis (MT - BR-364); ROTA DO OESTE - P- 1 Itiquira (MT - BR-163); CCR MSVia - P-09 Pedro Gomes (MS - BR-163); CCR MSVia - P-08 Rio Verde de Mato Grosso (MS - BR-163); CCR MSVia - P-07 São Gabriel do Oeste (MS - BR-163); CCR MSVia - P-06 Jaraguari (MS - BR-163); CCR MSVia - P-05 Campo Grande (MS - BR-163); CART - Caiuá (SP - SP-270); CART - Presidente Bernardes (SP - SP-270); VIA ARAUCÁRIA - P1 - São Luiz do Purunã (PR - BR-277)</t>
  </si>
  <si>
    <t>LUCAS DO RIO VERDE/LAPA</t>
  </si>
  <si>
    <t>ROTA DO OESTE - P- 8 Lucas do Rio Verde (MT - BR-163); ROTA DO OESTE - P- 7 Nova Mutum (MT - BR-163); ROTA DO OESTE - P- 6 Diamantino (MT - BR-364); ROTA DO OESTE - P- 5 Jangada (MT - BR-364); ROTA DO OESTE - P- 4 Santo Antônio do Leverger (MT - BR-364); ROTA DO OESTE - P- 3 Campo Verde (MT - BR-364); ROTA DO OESTE - P- 2  Rondonópolis (MT - BR-364); ROTA DO OESTE - P- 1 Itiquira (MT - BR-163); CCR MSVia - P-09 Pedro Gomes (MS - BR-163); CCR MSVia - P-08 Rio Verde de Mato Grosso (MS - BR-163); CCR MSVia - P-07 São Gabriel do Oeste (MS - BR-163); CCR MSVia - P-06 Jaraguari (MS - BR-163); CCR MSVia - P-05 Campo Grande (MS - BR-163); CART - Caiuá (SP - SP-270); CART - Presidente Bernardes (SP - SP-270)</t>
  </si>
  <si>
    <t>MARINGA/SARANDI</t>
  </si>
  <si>
    <t>ARAUCARIA/CHAPECO</t>
  </si>
  <si>
    <t>PARANACITY/CIANORTE</t>
  </si>
  <si>
    <t>ARAUCARIA/PRESIDENTE PRUDENTE</t>
  </si>
  <si>
    <t>TRES LAGOAS/LAPA</t>
  </si>
  <si>
    <t>VIARONDON - Castilho (SP - SP-300); CART - Presidente Bernardes (SP - SP-270); VIA ARAUCÁRIA - P2 - Porto Amazonas (PR - BR-277)</t>
  </si>
  <si>
    <t>GUAXUPE,MG</t>
  </si>
  <si>
    <t>CAREACU/GUAXUPE</t>
  </si>
  <si>
    <t>EPR SUL DE MINAS - PP 02 – Senador José Bento (MG - BR-459); EPR SUL DE MINAS - PP 01 – Caldas (MG - BR-459); EPR VIAS DO CAFÉ - PP 03 - Muzambinho (MG - BR-146)</t>
  </si>
  <si>
    <t>MAFRA/ARAUCARIA</t>
  </si>
  <si>
    <t>PLANALTO SUL - RIO NEGRO (PR - BR-116); VIA ARAUCÁRIA - P5 - Lapa (PR - BR-476)</t>
  </si>
  <si>
    <t>MAFRA/NOVA ESPERANCA</t>
  </si>
  <si>
    <t>PLANALTO SUL - RIO NEGRO (PR - BR-116); VIA ARAUCÁRIA - P2 - Porto Amazonas (PR - BR-277)</t>
  </si>
  <si>
    <t>JOACABA,SC</t>
  </si>
  <si>
    <t>ITAJAI/ARAUCARIA</t>
  </si>
  <si>
    <t>LITORAL SUL - Araquari (SC - BR-101); LITORAL SUL - Garuva (SC - BR-101); LITORAL SUL - São José dos Pinhais (PR - BR-376)</t>
  </si>
  <si>
    <t>OURINHOS/ARAUCARIA</t>
  </si>
  <si>
    <t>MAFRA/ITAJAI</t>
  </si>
  <si>
    <t>LITORAL SUL - Araquari (SC - BR-101)</t>
  </si>
  <si>
    <t>JOACABA/ARAUCARIA</t>
  </si>
  <si>
    <t>XAXIM/ARAUCARIA</t>
  </si>
  <si>
    <t>MAFRA/RIBEIRAO PRETO</t>
  </si>
  <si>
    <t>PLANALTO SUL - RIO NEGRO (PR - BR-116); PLANALTO SUL - FAZENDA RIO GRANDE (PR - BR-116); RÉGIS BITTENCOURT - Campina Grande do Sul (PR - BR-116); RÉGIS BITTENCOURT - Barra do Turvo (SP - BR-116); RÉGIS BITTENCOURT - Cajati (SP - BR-116); RÉGIS BITTENCOURT - Juquiá (SP - BR-116); RODOVIAS DO TIETÊ - Elias Fausto (SP - SP-308); AUTOBAN - Limeira- Bandeirantes (SP - SP-348); INTERVIAS - Leme (SP - SP-330); INTERVIAS - Pirassununga (SP - SP-330); VIAPAULISTA - Santa Rita do Passa Quatro (SP - SP-330); VIAPAULISTA - São Simão (SP - SP-330)</t>
  </si>
  <si>
    <t>MAFRA/GUARULHOS</t>
  </si>
  <si>
    <t>PLANALTO SUL - RIO NEGRO (PR - BR-116); PLANALTO SUL - FAZENDA RIO GRANDE (PR - BR-116); RÉGIS BITTENCOURT - Campina Grande do Sul (PR - BR-116); RÉGIS BITTENCOURT - Barra do Turvo (SP - BR-116); RÉGIS BITTENCOURT - Cajati (SP - BR-116); RÉGIS BITTENCOURT - Juquiá (SP - BR-116); RÉGIS BITTENCOURT - Miracatu (SP - BR-116); RÉGIS BITTENCOURT - São Lourenço da Serra (SP - BR-116); RODOANEL OESTE - Castello Branco Interna (SP - SP-021)</t>
  </si>
  <si>
    <t>JOACABA/GUARAMIRIM</t>
  </si>
  <si>
    <t>PLANALTO SUL - MONTE CASTELO (SC - BR-116)</t>
  </si>
  <si>
    <t>RIBEIRAO PRETO/PAULINIA</t>
  </si>
  <si>
    <t>VIAPAULISTA - São Simão (SP - SP-330); VIAPAULISTA - Santa Rita do Passa Quatro (SP - SP-330); INTERVIAS - Pirassununga (SP - SP-330); INTERVIAS - Leme (SP - SP-330); AUTOBAN - Limeira Anhanguera (SP - SP-330); ROTA DAS BANDEIRAS - Paulínia A - N/S (SP - SP-332)</t>
  </si>
  <si>
    <t>GUARULHOS/GUARARAPES</t>
  </si>
  <si>
    <t>ECOVIAS RAPOSO CASTELLO - Osasco (SP - SP-280); ECOVIAS RAPOSO CASTELLO - Itapevi (SP - SP-280); AB COLINAS - Boituva L/O (SP - SP-280); SPVIAS - Quadra L/O (SP - SP-280); SPVIAS - Itatinga L/O (SP - SP-280); RODOVIAS DO TIETÊ - Botucatu (SP - SP-300); RODOVIAS DO TIETÊ - Areiópolis (SP - SP-300); RODOVIAS DO TIETÊ - Lençois Paulista (SP - SP-300); VIARONDON - Avaí (SP - SP-300); VIARONDON - Pirajuí (SP - SP-300); VIARONDON - Promissão (SP - SP-300); VIARONDON - Glicério (SP - SP-300)</t>
  </si>
  <si>
    <t>PAULINIA/GUARARAPES</t>
  </si>
  <si>
    <t>AUTOBAN - Nova Odessa (SP - SP-330); EIXO SP - São Pedro (SP - SP-304); EIXO SP - São Pedro II (SP - SP-304); RODOVIAS DO TIETÊ - Areiópolis (SP - SP-300); RODOVIAS DO TIETÊ - Lençois Paulista (SP - SP-300); VIARONDON - Avaí (SP - SP-300); VIARONDON - Pirajuí (SP - SP-300); VIARONDON - Promissão (SP - SP-300); VIARONDON - Glicério (SP - SP-300)</t>
  </si>
  <si>
    <t>GUARULHOS/PRESIDENTE PRUDENTE</t>
  </si>
  <si>
    <t>ECOVIAS RAPOSO CASTELLO - Osasco (SP - SP-280); ECOVIAS RAPOSO CASTELLO - Itapevi (SP - SP-280); AB COLINAS - Boituva L/O (SP - SP-280); SPVIAS - Quadra L/O (SP - SP-280); SPVIAS - Itatinga L/O (SP - SP-280); SPVIAS - Iaras L/O (SP - SP-280); CART - Santa Cruz do Rio Pardo (SP - SP-225); CART - Ourinhos (SP - SP-327); CART - Palmital (SP - SP-270); CART - Assis (SP - SP-270); CART - Rancharia (SP - SP-270); CART - Regente Feijó (SP - SP-270)</t>
  </si>
  <si>
    <t>SPMAR - P1 - Parelheiros (SP - SP-021); RODOANEL OESTE - Bandeirantes Externa (SP - SP-021); AUTOBAN - Campo Limpo (SP - SP-348); AUTOBAN - Itupeva (SP - SP-348)</t>
  </si>
  <si>
    <t>GUARULHOS/NOVA ESPERANCA</t>
  </si>
  <si>
    <t>ECOVIAS RAPOSO CASTELLO - Osasco (SP - SP-280); ECOVIAS RAPOSO CASTELLO - Itapevi (SP - SP-280); AB COLINAS - Boituva L/O (SP - SP-280); SPVIAS - Quadra L/O (SP - SP-280); SPVIAS - Itatinga L/O (SP - SP-280); SPVIAS - Iaras L/O (SP - SP-280); CART - Santa Cruz do Rio Pardo (SP - SP-225); CART - Ourinhos (SP - SP-327); EPR LITORAL PIONEIRO - P3 - Jacarezinho (PR - BR-369)</t>
  </si>
  <si>
    <t>JARDINOPOLIS,SP</t>
  </si>
  <si>
    <t>JARDINOPOLIS/PRESIDENTE PRUDENTE</t>
  </si>
  <si>
    <t>ENTREVIAS - SERTÃOZINHO (SP - SP-322); ECONOROESTE - Jaboticabal L/O (SP - SP-333); FREE FLOW ECONOROESTE - Itápolis - Free Flow (SP - SP-333); ENTREVIAS - PONGAÍ (SP - SP-333); VIARONDON - Promissão (SP - SP-300); EIXO SP - Martinopolis (SP - SP-425); EIXO SP - Indiana (SP - SP-425)</t>
  </si>
  <si>
    <t>SARANDI-PR,PR</t>
  </si>
  <si>
    <t>SANTOS/SARANDI-PR</t>
  </si>
  <si>
    <t>SPMAR - P1 - Parelheiros (SP - SP-021); RODOANEL OESTE - Castello Branco Interna (SP - SP-021); ECOVIAS RAPOSO CASTELLO - Itapevi (SP - SP-280); AB COLINAS - Boituva L/O (SP - SP-280); SPVIAS - Quadra L/O (SP - SP-280); SPVIAS - Itatinga L/O (SP - SP-280); SPVIAS - Iaras L/O (SP - SP-280); CART - Santa Cruz do Rio Pardo (SP - SP-225); CART - Ourinhos (SP - SP-327); EPR LITORAL PIONEIRO - P3 - Jacarezinho (PR - BR-369)</t>
  </si>
  <si>
    <t>NARANDIBA,SP</t>
  </si>
  <si>
    <t>NARANDIBA/ARAUCARIA</t>
  </si>
  <si>
    <t>NARANDIBA/ITAJAI</t>
  </si>
  <si>
    <t>MARACAI/ARAUCARIA</t>
  </si>
  <si>
    <t>CART - Assis (SP - SP-270); CART - Palmital (SP - SP-270); EPR LITORAL PIONEIRO - P3 - Jacarezinho (PR - BR-369); EPR LITORAL PIONEIRO - P5 - Carambeí (PR - PR-151); VIA ARAUCÁRIA - P1 - São Luiz do Purunã (PR - BR-277)</t>
  </si>
  <si>
    <t>QUATA,SP</t>
  </si>
  <si>
    <t>QUATA/ITAJAI</t>
  </si>
  <si>
    <t>EIXO SP - Paraguaçu Paulista (SP - SP-284); CART - Palmital (SP - SP-270); EPR LITORAL PIONEIRO - P3 - Jacarezinho (PR - BR-369); EPR LITORAL PIONEIRO - P5 - Carambeí (PR - PR-151); VIA ARAUCÁRIA - P1 - São Luiz do Purunã (PR - BR-277); LITORAL SUL - São José dos Pinhais (PR - BR-376); LITORAL SUL - Garuva (SC - BR-101); LITORAL SUL - Araquari (SC - BR-101)</t>
  </si>
  <si>
    <t>MARACAI/PASSO FUNDO</t>
  </si>
  <si>
    <t>CART - Assis (SP - SP-270); CART - Palmital (SP - SP-270); EPR LITORAL PIONEIRO - P3 - Jacarezinho (PR - BR-369); VIA ARAUCÁRIA - P4 - Imbituva (PR - BR-373)</t>
  </si>
  <si>
    <t>LUCAS DO RIO VERDE/ARAUCARIA</t>
  </si>
  <si>
    <t>ROTA DO OESTE - P- 8 Lucas do Rio Verde (MT - BR-163); ROTA DO OESTE - P- 7 Nova Mutum (MT - BR-163); ROTA DO OESTE - P- 6 Diamantino (MT - BR-364); ROTA DO OESTE - P- 5 Jangada (MT - BR-364); ROTA DO OESTE - P- 4 Santo Antônio do Leverger (MT - BR-364); ROTA DO OESTE - P- 3 Campo Verde (MT - BR-364); ROTA DO OESTE - P- 2  Rondonópolis (MT - BR-364); ROTA DO OESTE - P- 1 Itiquira (MT - BR-163); CCR MSVia - P-09 Pedro Gomes (MS - BR-163); CCR MSVia - P-08 Rio Verde de Mato Grosso (MS - BR-163); CCR MSVia - P-07 São Gabriel do Oeste (MS - BR-163); CCR MSVia - P-06 Jaraguari (MS - BR-163); CCR MSVia - P-05 Campo Grande (MS - BR-163); CART - Caiuá (SP - SP-270); CART - Presidente Bernardes (SP - SP-270); VIA ARAUCÁRIA - P1 - São Luiz do Purunã (PR - BR-277)</t>
  </si>
  <si>
    <t>PRESIDENTE PRUDENTE/ARAUCARIA</t>
  </si>
  <si>
    <t>ANAPOLIS,SP</t>
  </si>
  <si>
    <t>ANAPOLIS/SUMARE</t>
  </si>
  <si>
    <t>VIARONDON - Promissão (SP - SP-300); VIARONDON - Pirajuí (SP - SP-300); VIARONDON - Avaí (SP - SP-300); RODOVIAS DO TIETÊ - Lençois Paulista (SP - SP-300); RODOVIAS DO TIETÊ - Areiópolis (SP - SP-300); EIXO SP - São Pedro II (SP - SP-304); EIXO SP - São Pedro (SP - SP-304); AUTOBAN - Sumaré (SP - SP-348)</t>
  </si>
  <si>
    <t>COROADOS/PAULINIA</t>
  </si>
  <si>
    <t>VIARONDON - Glicério (SP - SP-300); VIARONDON - Promissão (SP - SP-300); VIARONDON - Pirajuí (SP - SP-300); VIARONDON - Avaí (SP - SP-300); EIXO SP - Jaú (SP - SP-225); EIXO SP - Dois Córregos (SP - SP-225); EIXO SP - Brotas (SP - SP-225); EIXO SP - Rio Claro (SP - SP-310); AUTOBAN - Limeira Anhanguera (SP - SP-330); ROTA DAS BANDEIRAS - Paulínia A - N/S (SP - SP-332)</t>
  </si>
  <si>
    <t>SUMARE/PARANAGUA</t>
  </si>
  <si>
    <t>AUTOBAN - Itupeva (SP - SP-348); AUTOBAN - Caieiras (SP - SP-348); RODOANEL OESTE - Régis Bittencourt (SP - SP-021); RÉGIS BITTENCOURT - São Lourenço da Serra (SP - BR-116); RÉGIS BITTENCOURT - Miracatu (SP - BR-116); RÉGIS BITTENCOURT - Juquiá (SP - BR-116); RÉGIS BITTENCOURT - Cajati (SP - BR-116); RÉGIS BITTENCOURT - Barra do Turvo (SP - BR-116); RÉGIS BITTENCOURT - Campina Grande do Sul (PR - BR-116); EPR LITORAL PIONEIRO - P1 - São José dos Pinhais (PR - BR-277)</t>
  </si>
  <si>
    <t>GUARULHOS/SARANDI-PR</t>
  </si>
  <si>
    <t>PAULINIA/PAULINIA</t>
  </si>
  <si>
    <t>QUATA/CORONEL BARROS</t>
  </si>
  <si>
    <t>EIXO SP - Paraguaçu Paulista (SP - SP-284); CART - Palmital (SP - SP-270); EPR LITORAL PIONEIRO - P3 - Jacarezinho (PR - BR-369); VIA ARAUCÁRIA - P4 - Imbituva (PR - BR-373)</t>
  </si>
  <si>
    <t>OURINHOS/ITAJAI</t>
  </si>
  <si>
    <t>TARUMA/ESTEIO</t>
  </si>
  <si>
    <t>CART - Palmital (SP - SP-270); EPR LITORAL PIONEIRO - P3 - Jacarezinho (PR - BR-369); EPR LITORAL PIONEIRO - P5 - Carambeí (PR - PR-151); VIA ARAUCÁRIA - P1 - São Luiz do Purunã (PR - BR-277); LITORAL SUL - São José dos Pinhais (PR - BR-376); LITORAL SUL - Garuva (SC - BR-101); LITORAL SUL - Araquari (SC - BR-101); LITORAL SUL - Porto Belo (SC - BR-101); LITORAL SUL - Palhoça (SC - BR-101); CCR VIA COSTEIRA - P1 - Laguna (SC - BR-101); CCR VIA COSTEIRA - P2 - Tubarão (SC - BR-101); CCR VIA COSTEIRA - P3 - Araranguá (SC - BR-101); CCR VIA COSTEIRA - P4 - São João do Sul (SC - BR-101); CCR VIASUL - P1 - Três Cachoeiras (RS - BR-290); CCR VIASUL - P2 - Santo Antonio da Patrulha (RS - BR-290); CCR VIASUL - P3 - Gravataí (RS - BR-290)</t>
  </si>
  <si>
    <t>PAULINIA/CAMPO GRANDE</t>
  </si>
  <si>
    <t>AUTOBAN - Nova Odessa (SP - SP-330); EIXO SP - São Pedro (SP - SP-304); EIXO SP - São Pedro II (SP - SP-304); RODOVIAS DO TIETÊ - Areiópolis (SP - SP-300); RODOVIAS DO TIETÊ - Lençois Paulista (SP - SP-300); VIARONDON - Avaí (SP - SP-300); VIARONDON - Pirajuí (SP - SP-300); VIARONDON - Promissão (SP - SP-300); VIARONDON - Glicério (SP - SP-300); VIARONDON - Rubiácea (SP - SP-300); VIARONDON - Lavínia (SP - SP-300); VIARONDON - Guaraçaí (SP - SP-300); VIARONDON - Castilho (SP - SP-300)</t>
  </si>
  <si>
    <t>PAULINIA/BAURU</t>
  </si>
  <si>
    <t>AUTOBAN - Nova Odessa (SP - SP-330); AUTOBAN - Limeira Anhanguera (SP - SP-330); EIXO SP - Rio Claro (SP - SP-310); EIXO SP - Brotas (SP - SP-225); EIXO SP - Dois Córregos (SP - SP-225); EIXO SP - Jaú (SP - SP-225)</t>
  </si>
  <si>
    <t>QUATA/ARAUCARIA</t>
  </si>
  <si>
    <t>EIXO SP - Paraguaçu Paulista (SP - SP-284); CART - Palmital (SP - SP-270); EPR LITORAL PIONEIRO - P3 - Jacarezinho (PR - BR-369); EPR LITORAL PIONEIRO - P5 - Carambeí (PR - PR-151); VIA ARAUCÁRIA - P1 - São Luiz do Purunã (PR - BR-277)</t>
  </si>
  <si>
    <t>SANDOVALINA,SP</t>
  </si>
  <si>
    <t>SANDOVALINA/ARAUCARIA</t>
  </si>
  <si>
    <t>ANDRADINA,SP</t>
  </si>
  <si>
    <t>ANDRADINA/ESTEIO</t>
  </si>
  <si>
    <t>CART - Presidente Bernardes (SP - SP-270); VIA ARAUCÁRIA - P1 - São Luiz do Purunã (PR - BR-277); LITORAL SUL - São José dos Pinhais (PR - BR-376); LITORAL SUL - Garuva (SC - BR-101); LITORAL SUL - Araquari (SC - BR-101); LITORAL SUL - Porto Belo (SC - BR-101); LITORAL SUL - Palhoça (SC - BR-101); CCR VIA COSTEIRA - P1 - Laguna (SC - BR-101); CCR VIA COSTEIRA - P2 - Tubarão (SC - BR-101); CCR VIA COSTEIRA - P3 - Araranguá (SC - BR-101); CCR VIA COSTEIRA - P4 - São João do Sul (SC - BR-101); CCR VIASUL - P1 - Três Cachoeiras (RS - BR-290); CCR VIASUL - P2 - Santo Antonio da Patrulha (RS - BR-290); CCR VIASUL - P3 - Gravataí (RS - BR-290)</t>
  </si>
  <si>
    <t>ORTIGUEIRA,PR</t>
  </si>
  <si>
    <t>COTIA/ORTIGUEIRA</t>
  </si>
  <si>
    <t>ECOVIAS RAPOSO CASTELLO - Itapevi (SP - SP-280); AB COLINAS - Boituva L/O (SP - SP-280); SPVIAS - Quadra L/O (SP - SP-280); SPVIAS - Itatinga L/O (SP - SP-280); SPVIAS - Iaras L/O (SP - SP-280); CART - Santa Cruz do Rio Pardo (SP - SP-225); CART - Ourinhos (SP - SP-327); EPR LITORAL PIONEIRO - P3 - Jacarezinho (PR - BR-369)</t>
  </si>
  <si>
    <t>SANTOS/RIBEIRAO PRETO</t>
  </si>
  <si>
    <t>SPMAR - P1 - Parelheiros (SP - SP-021); RODOANEL OESTE - Bandeirantes Externa (SP - SP-021); AUTOBAN - Campo Limpo (SP - SP-348); AUTOBAN - Itupeva (SP - SP-348); AUTOBAN - Sumaré (SP - SP-348); AUTOBAN - Limeira- Bandeirantes (SP - SP-348); INTERVIAS - Leme (SP - SP-330); INTERVIAS - Pirassununga (SP - SP-330); VIAPAULISTA - Santa Rita do Passa Quatro (SP - SP-330); VIAPAULISTA - São Simão (SP - SP-330)</t>
  </si>
  <si>
    <t>PAULINIA/RONDONOPOLIS</t>
  </si>
  <si>
    <t>AUTOBAN - Nova Odessa (SP - SP-330); AUTOBAN - Limeira Anhanguera (SP - SP-330); EIXO SP - Rio Claro (SP - SP-310); EIXO SP - Itirapina (SP - SP-310); ECONOROESTE - Araraquara N/S (SP - SP-310); ECONOROESTE - Agulha N/S (SP - SP-310); ECONOROESTE - Catiguá N/S (SP - SP-310); WAY - 112 - P 06 - Aparecida do Taboado (MS - BR-436); WAY - 112 - P 05 - Aparecida do Taboado (MS - BR-158); WAY - 112 - P 04 - Paranaíba (MS - BR-158); WAY - 306 - P3 - Cassilândia (MS - MS-306); WAY - 306 - P2 - Chapadão do Sul (MS - MS-306); WAY - 306 - P1 - Costa Rica (MS - MS-306); VIA BRASIL - MT-100 - P1 - Alto Taquari (MT - MT-100); VIA BRASIL - MT-100 - P2 - Alto Araguaia (MT - MT-100)</t>
  </si>
  <si>
    <t>MARACAI/ITAJAI</t>
  </si>
  <si>
    <t>CART - Assis (SP - SP-270); CART - Palmital (SP - SP-270); EPR LITORAL PIONEIRO - P3 - Jacarezinho (PR - BR-369); EPR LITORAL PIONEIRO - P5 - Carambeí (PR - PR-151); VIA ARAUCÁRIA - P1 - São Luiz do Purunã (PR - BR-277); LITORAL SUL - São José dos Pinhais (PR - BR-376); LITORAL SUL - Garuva (SC - BR-101); LITORAL SUL - Araquari (SC - BR-101)</t>
  </si>
  <si>
    <t>SANTOS/BAURU</t>
  </si>
  <si>
    <t>NOVA INDEPENDENCIA/ITAJAI</t>
  </si>
  <si>
    <t>CAFELANDIA/LAPA</t>
  </si>
  <si>
    <t>SAO JOAQUIM DA BARRA/CANOAS</t>
  </si>
  <si>
    <t>CANOAS/SARANDI-PR</t>
  </si>
  <si>
    <t>ARAUCARIA/CASCAVEL</t>
  </si>
  <si>
    <t>PARANAGUA/CASCAVEL</t>
  </si>
  <si>
    <t>IPAUSSU/ITAJAI</t>
  </si>
  <si>
    <t>SANDOVALINA/CHAPECO</t>
  </si>
  <si>
    <t>LAPA/RIBEIRAO PRETO</t>
  </si>
  <si>
    <t>SÃO JOSÉ DOS CAMPOS,SP</t>
  </si>
  <si>
    <t>IACANGA,SP</t>
  </si>
  <si>
    <t>NOVA INDEPENDENCIA,SP</t>
  </si>
  <si>
    <t>CUBATAO/BAURU</t>
  </si>
  <si>
    <t>SAO CARLOS DO IVAI/ITAJAI</t>
  </si>
  <si>
    <t>CAMARGO/BARUERI</t>
  </si>
  <si>
    <t>IJUI/SAO PAULO</t>
  </si>
  <si>
    <t>PASSO FUNDO/BAURU</t>
  </si>
  <si>
    <t>JOACABA/SAO JOSE DOS CAMPOS</t>
  </si>
  <si>
    <t>LUIS ANTONIO,SP</t>
  </si>
  <si>
    <t>LUIS ANTONIO/ARAUCARIA</t>
  </si>
  <si>
    <t>NOVA INDEPENDENCIA/PASSO FUNDO</t>
  </si>
  <si>
    <t>NARANDIBA/CANOAS</t>
  </si>
  <si>
    <t>PARANAGUA/PRESIDENTE PRUDENTE</t>
  </si>
  <si>
    <t>CAMARGO/SAO PAULO</t>
  </si>
  <si>
    <t>IJUI/BARUERI</t>
  </si>
  <si>
    <t>Faturamento Realizado</t>
  </si>
  <si>
    <t>Planejado</t>
  </si>
  <si>
    <t>% Dia</t>
  </si>
  <si>
    <t>Realizado</t>
  </si>
  <si>
    <t>35260425102812000500570030000003131215122338</t>
  </si>
  <si>
    <t>12/04/2026</t>
  </si>
  <si>
    <t>313</t>
  </si>
  <si>
    <t>31221</t>
  </si>
  <si>
    <t>35260425102812000500570030000003141011635172</t>
  </si>
  <si>
    <t>314</t>
  </si>
  <si>
    <t>31237</t>
  </si>
  <si>
    <t>35260425102812000500570030000003151474469924</t>
  </si>
  <si>
    <t>315</t>
  </si>
  <si>
    <t>31245</t>
  </si>
  <si>
    <t>35260425102812000500570030000003161890872333</t>
  </si>
  <si>
    <t>316</t>
  </si>
  <si>
    <t>31246</t>
  </si>
  <si>
    <t>35260425102812000500570030000003171973024884</t>
  </si>
  <si>
    <t>317</t>
  </si>
  <si>
    <t>31247</t>
  </si>
  <si>
    <t>41260425102812000179570030000008931894536972</t>
  </si>
  <si>
    <t>893</t>
  </si>
  <si>
    <t>2407892</t>
  </si>
  <si>
    <t>41260425102812000179570030000008941355973451</t>
  </si>
  <si>
    <t>894</t>
  </si>
  <si>
    <t>2407928</t>
  </si>
  <si>
    <t>41260425102812000179570030000008951348153654</t>
  </si>
  <si>
    <t>895</t>
  </si>
  <si>
    <t>1098055</t>
  </si>
  <si>
    <t>42260425102812000330570030000000311066167161</t>
  </si>
  <si>
    <t>31</t>
  </si>
  <si>
    <t>1315498</t>
  </si>
  <si>
    <t>41260425102812000179570030000007931866698844</t>
  </si>
  <si>
    <t>793</t>
  </si>
  <si>
    <t>1066149</t>
  </si>
  <si>
    <t>CESAR AUGUSTO DA SILVA</t>
  </si>
  <si>
    <t>SARANDI-PR</t>
  </si>
  <si>
    <t>46.91</t>
  </si>
  <si>
    <t>35260425102812000500570030000002701941952982</t>
  </si>
  <si>
    <t>30750</t>
  </si>
  <si>
    <t>35260425102812000500570030000002711373880258</t>
  </si>
  <si>
    <t>30752</t>
  </si>
  <si>
    <t>35260425102812000500570030000002721536866663</t>
  </si>
  <si>
    <t>272</t>
  </si>
  <si>
    <t>30754</t>
  </si>
  <si>
    <t>35260425102812000500570030000002731375308998</t>
  </si>
  <si>
    <t>273</t>
  </si>
  <si>
    <t>30763</t>
  </si>
  <si>
    <t>35260425102812000500570030000002741407981975</t>
  </si>
  <si>
    <t>274</t>
  </si>
  <si>
    <t>648452</t>
  </si>
  <si>
    <t>AGEO TERMINAIS E ARMAZENS GERAIS S.</t>
  </si>
  <si>
    <t>35260425102812000500570030000002751886444263</t>
  </si>
  <si>
    <t>275</t>
  </si>
  <si>
    <t>30790</t>
  </si>
  <si>
    <t>35260425102812000500570030000002761495507477</t>
  </si>
  <si>
    <t>276</t>
  </si>
  <si>
    <t>648462</t>
  </si>
  <si>
    <t>JBC1D05 - JBC1C79 - TAW2A67</t>
  </si>
  <si>
    <t>LUIZ ALEX DOS SANTOS</t>
  </si>
  <si>
    <t>35260425102812000500570030000002771924910275</t>
  </si>
  <si>
    <t>277</t>
  </si>
  <si>
    <t>101523</t>
  </si>
  <si>
    <t>35260425102812000500570030000002791290926291</t>
  </si>
  <si>
    <t>279</t>
  </si>
  <si>
    <t>101532</t>
  </si>
  <si>
    <t>35260425102812000500570030000002801238635746</t>
  </si>
  <si>
    <t>280</t>
  </si>
  <si>
    <t>1463696</t>
  </si>
  <si>
    <t>35260425102812000500570030000002811618682107</t>
  </si>
  <si>
    <t>281</t>
  </si>
  <si>
    <t>648478</t>
  </si>
  <si>
    <t>35260425102812000500570030000002821197140971</t>
  </si>
  <si>
    <t>282</t>
  </si>
  <si>
    <t>1463704</t>
  </si>
  <si>
    <t>ALEXANDRE HENRIQUE FAUSTINO</t>
  </si>
  <si>
    <t>35260425102812000500570030000002831935984272</t>
  </si>
  <si>
    <t>283</t>
  </si>
  <si>
    <t>1463702</t>
  </si>
  <si>
    <t>35260425102812000500570030000002841729670630</t>
  </si>
  <si>
    <t>284</t>
  </si>
  <si>
    <t>1463730</t>
  </si>
  <si>
    <t>35260425102812000500570030000002851549127730</t>
  </si>
  <si>
    <t>285</t>
  </si>
  <si>
    <t>648507</t>
  </si>
  <si>
    <t>PARANAGUA/SARANDI-PR</t>
  </si>
  <si>
    <t>NOVA INDEPENDENCIA/CANOAS</t>
  </si>
  <si>
    <t>SANTOS/CUBATAO</t>
  </si>
  <si>
    <t>CANOAS/CHAPECO</t>
  </si>
  <si>
    <t>PARAGUACU PAULISTA/CANOAS</t>
  </si>
  <si>
    <t>COLORADO/ITAJAI</t>
  </si>
  <si>
    <t>IVINHEMA/ITAJAI</t>
  </si>
  <si>
    <t>% acc</t>
  </si>
  <si>
    <t>BBD0E82 - BBD0E81 - RHH5D97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</si>
</sst>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  <numFmt numFmtId="167" formatCode="#,##0.000"/>
    <numFmt numFmtId="168" formatCode="_-* #,##0.0_-;\-* #,##0.0_-;_-* &quot;-&quot;??_-;_-@_-"/>
    <numFmt numFmtId="169" formatCode="_-&quot;R$&quot;\ * #,##0.00_-;\-&quot;R$&quot;\ * #,##0.00_-;_-&quot;R$&quot;\ * &quot;-&quot;??_-;_-@_-"/>
  </numFmts>
  <fonts count="1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Tahoma"/>
    </font>
    <font>
      <b/>
      <sz val="8"/>
      <color theme="0"/>
      <name val="Tahoma"/>
      <family val="2"/>
    </font>
    <font>
      <sz val="11"/>
      <color indexed="8"/>
      <name val="Aptos Narrow"/>
      <scheme val="minor"/>
    </font>
    <font>
      <sz val="1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6C9EC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5">
    <xf numFmtId="0" fontId="0" fillId="0" borderId="0" xfId="0"/>
    <xf numFmtId="0" fontId="4" fillId="3" borderId="4" xfId="0" applyFont="1" applyFill="1" applyBorder="1"/>
    <xf numFmtId="0" fontId="4" fillId="3" borderId="5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22" fontId="0" fillId="0" borderId="0" xfId="0" applyNumberFormat="1"/>
    <xf numFmtId="165" fontId="4" fillId="3" borderId="5" xfId="0" applyNumberFormat="1" applyFont="1" applyFill="1" applyBorder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44" fontId="0" fillId="0" borderId="0" xfId="2" applyFont="1"/>
    <xf numFmtId="44" fontId="0" fillId="0" borderId="0" xfId="0" applyNumberFormat="1"/>
    <xf numFmtId="9" fontId="0" fillId="0" borderId="0" xfId="4" applyFont="1"/>
    <xf numFmtId="0" fontId="8" fillId="0" borderId="0" xfId="0" applyFont="1"/>
    <xf numFmtId="167" fontId="8" fillId="0" borderId="0" xfId="0" applyNumberFormat="1" applyFont="1"/>
    <xf numFmtId="44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44" fontId="11" fillId="4" borderId="3" xfId="0" applyNumberFormat="1" applyFont="1" applyFill="1" applyBorder="1" applyAlignment="1">
      <alignment horizontal="center" vertical="center"/>
    </xf>
    <xf numFmtId="166" fontId="11" fillId="6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44" fontId="9" fillId="0" borderId="0" xfId="2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center" vertical="center"/>
    </xf>
    <xf numFmtId="43" fontId="5" fillId="4" borderId="3" xfId="0" applyNumberFormat="1" applyFont="1" applyFill="1" applyBorder="1" applyAlignment="1">
      <alignment horizontal="center" vertical="center"/>
    </xf>
    <xf numFmtId="44" fontId="5" fillId="4" borderId="3" xfId="0" applyNumberFormat="1" applyFont="1" applyFill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3" fontId="5" fillId="4" borderId="2" xfId="1" applyFont="1" applyFill="1" applyBorder="1" applyAlignment="1">
      <alignment horizontal="center" vertical="center"/>
    </xf>
    <xf numFmtId="44" fontId="5" fillId="4" borderId="2" xfId="2" applyFont="1" applyFill="1" applyBorder="1" applyAlignment="1">
      <alignment horizontal="center" vertical="center"/>
    </xf>
    <xf numFmtId="44" fontId="5" fillId="4" borderId="2" xfId="0" applyNumberFormat="1" applyFont="1" applyFill="1" applyBorder="1" applyAlignment="1">
      <alignment horizontal="center" vertical="center"/>
    </xf>
    <xf numFmtId="43" fontId="2" fillId="4" borderId="2" xfId="0" applyNumberFormat="1" applyFont="1" applyFill="1" applyBorder="1" applyAlignment="1">
      <alignment horizontal="center" vertical="center"/>
    </xf>
    <xf numFmtId="166" fontId="5" fillId="4" borderId="8" xfId="1" applyNumberFormat="1" applyFont="1" applyFill="1" applyBorder="1" applyAlignment="1">
      <alignment horizontal="center" vertical="center"/>
    </xf>
    <xf numFmtId="166" fontId="5" fillId="4" borderId="2" xfId="1" applyNumberFormat="1" applyFont="1" applyFill="1" applyBorder="1" applyAlignment="1">
      <alignment horizontal="center" vertical="center"/>
    </xf>
    <xf numFmtId="44" fontId="5" fillId="2" borderId="2" xfId="2" applyFont="1" applyFill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43" fontId="2" fillId="4" borderId="3" xfId="0" applyNumberFormat="1" applyFont="1" applyFill="1" applyBorder="1" applyAlignment="1">
      <alignment horizontal="center" vertical="center"/>
    </xf>
    <xf numFmtId="166" fontId="5" fillId="4" borderId="3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44" fontId="5" fillId="0" borderId="0" xfId="2" applyFont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0" fillId="0" borderId="0" xfId="0" pivotButton="1"/>
    <xf numFmtId="43" fontId="5" fillId="0" borderId="0" xfId="2" applyNumberFormat="1" applyFont="1" applyAlignment="1">
      <alignment horizontal="center" vertical="center"/>
    </xf>
    <xf numFmtId="44" fontId="5" fillId="4" borderId="3" xfId="2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44" fontId="0" fillId="0" borderId="1" xfId="2" applyFont="1" applyBorder="1" applyAlignment="1">
      <alignment horizontal="center"/>
    </xf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4" fontId="13" fillId="0" borderId="1" xfId="2" applyFont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43" fontId="5" fillId="4" borderId="8" xfId="1" applyFont="1" applyFill="1" applyBorder="1" applyAlignment="1">
      <alignment horizontal="center" vertical="center"/>
    </xf>
    <xf numFmtId="44" fontId="11" fillId="4" borderId="8" xfId="2" applyFont="1" applyFill="1" applyBorder="1" applyAlignment="1">
      <alignment horizontal="center" vertical="center"/>
    </xf>
    <xf numFmtId="44" fontId="5" fillId="4" borderId="8" xfId="2" applyFont="1" applyFill="1" applyBorder="1" applyAlignment="1">
      <alignment horizontal="center" vertical="center"/>
    </xf>
    <xf numFmtId="44" fontId="5" fillId="4" borderId="8" xfId="0" applyNumberFormat="1" applyFont="1" applyFill="1" applyBorder="1" applyAlignment="1">
      <alignment horizontal="center" vertical="center"/>
    </xf>
    <xf numFmtId="43" fontId="2" fillId="4" borderId="8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166" fontId="12" fillId="9" borderId="1" xfId="1" applyNumberFormat="1" applyFont="1" applyFill="1" applyBorder="1" applyAlignment="1">
      <alignment horizontal="center" vertical="center" wrapText="1"/>
    </xf>
    <xf numFmtId="44" fontId="12" fillId="9" borderId="1" xfId="2" applyFont="1" applyFill="1" applyBorder="1" applyAlignment="1">
      <alignment horizontal="center" vertical="center" wrapText="1"/>
    </xf>
    <xf numFmtId="0" fontId="3" fillId="3" borderId="0" xfId="0" applyFont="1" applyFill="1"/>
    <xf numFmtId="166" fontId="11" fillId="6" borderId="8" xfId="1" applyNumberFormat="1" applyFont="1" applyFill="1" applyBorder="1" applyAlignment="1">
      <alignment horizontal="center" vertical="center"/>
    </xf>
    <xf numFmtId="166" fontId="11" fillId="6" borderId="2" xfId="1" applyNumberFormat="1" applyFont="1" applyFill="1" applyBorder="1" applyAlignment="1">
      <alignment horizontal="center" vertical="center"/>
    </xf>
    <xf numFmtId="44" fontId="2" fillId="0" borderId="1" xfId="2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44" fontId="2" fillId="9" borderId="1" xfId="2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10" fontId="12" fillId="9" borderId="1" xfId="2" applyNumberFormat="1" applyFont="1" applyFill="1" applyBorder="1" applyAlignment="1">
      <alignment horizontal="center" vertical="center" wrapText="1"/>
    </xf>
    <xf numFmtId="10" fontId="5" fillId="4" borderId="8" xfId="2" applyNumberFormat="1" applyFont="1" applyFill="1" applyBorder="1" applyAlignment="1">
      <alignment horizontal="center" vertical="center"/>
    </xf>
    <xf numFmtId="10" fontId="5" fillId="4" borderId="2" xfId="2" applyNumberFormat="1" applyFont="1" applyFill="1" applyBorder="1" applyAlignment="1">
      <alignment horizontal="center" vertical="center"/>
    </xf>
    <xf numFmtId="10" fontId="5" fillId="4" borderId="3" xfId="2" applyNumberFormat="1" applyFont="1" applyFill="1" applyBorder="1" applyAlignment="1">
      <alignment horizontal="center" vertical="center"/>
    </xf>
    <xf numFmtId="10" fontId="5" fillId="4" borderId="3" xfId="0" applyNumberFormat="1" applyFont="1" applyFill="1" applyBorder="1" applyAlignment="1">
      <alignment horizontal="center" vertical="center"/>
    </xf>
    <xf numFmtId="10" fontId="5" fillId="0" borderId="0" xfId="2" applyNumberFormat="1" applyFont="1" applyAlignment="1">
      <alignment horizontal="center" vertical="center"/>
    </xf>
    <xf numFmtId="10" fontId="9" fillId="0" borderId="0" xfId="2" applyNumberFormat="1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/>
    </xf>
    <xf numFmtId="44" fontId="2" fillId="2" borderId="1" xfId="2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44" fontId="2" fillId="0" borderId="1" xfId="0" applyNumberFormat="1" applyFont="1" applyBorder="1" applyAlignment="1">
      <alignment horizontal="center" vertical="center"/>
    </xf>
    <xf numFmtId="44" fontId="15" fillId="0" borderId="12" xfId="2" applyFont="1" applyBorder="1" applyAlignment="1">
      <alignment horizontal="center" vertical="center" wrapText="1"/>
    </xf>
    <xf numFmtId="44" fontId="17" fillId="4" borderId="0" xfId="2" applyFont="1" applyFill="1" applyAlignment="1">
      <alignment horizontal="center" vertical="center"/>
    </xf>
    <xf numFmtId="0" fontId="12" fillId="9" borderId="1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10" fontId="5" fillId="2" borderId="2" xfId="2" applyNumberFormat="1" applyFont="1" applyFill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4" fillId="0" borderId="0" xfId="0" applyFont="1"/>
    <xf numFmtId="44" fontId="14" fillId="0" borderId="0" xfId="2" applyFont="1"/>
    <xf numFmtId="0" fontId="0" fillId="0" borderId="1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169" fontId="0" fillId="0" borderId="0" xfId="0" applyNumberFormat="1"/>
    <xf numFmtId="9" fontId="14" fillId="0" borderId="0" xfId="0" applyNumberFormat="1" applyFont="1"/>
    <xf numFmtId="9" fontId="0" fillId="0" borderId="13" xfId="4" applyFont="1" applyBorder="1" applyAlignment="1">
      <alignment horizontal="center"/>
    </xf>
    <xf numFmtId="9" fontId="0" fillId="0" borderId="16" xfId="4" applyFont="1" applyBorder="1" applyAlignment="1">
      <alignment horizontal="center"/>
    </xf>
    <xf numFmtId="9" fontId="0" fillId="0" borderId="10" xfId="4" applyFont="1" applyBorder="1" applyAlignment="1">
      <alignment horizontal="center"/>
    </xf>
  </cellXfs>
  <cellStyles count="5">
    <cellStyle name="Moeda" xfId="2" builtinId="4"/>
    <cellStyle name="Moeda 2" xfId="3" xr:uid="{ED1DE6A3-D8AE-4930-8F5D-C5E9C55BB2A3}"/>
    <cellStyle name="Normal" xfId="0" builtinId="0"/>
    <cellStyle name="Porcentagem" xfId="4" builtinId="5"/>
    <cellStyle name="Vírgula" xfId="1" builtinId="3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A6C9E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A6C9E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A6C9E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name val="Aptos Narrow"/>
        <scheme val="minor"/>
      </font>
      <numFmt numFmtId="35" formatCode="_-* #,##0.00_-;\-* #,##0.00_-;_-* &quot;-&quot;??_-;_-@_-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rgb="FFA6C9E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rgb="FFA6C9E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rgb="FFA6C9E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9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numFmt numFmtId="13" formatCode="0%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numFmt numFmtId="30" formatCode="@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_-&quot;R$&quot;\ * #,##0.00_-;\-&quot;R$&quot;\ * #,##0.00_-;_-&quot;R$&quot;\ * &quot;-&quot;??_-;_-@_-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ahoma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name val="Aptos Narrow"/>
        <scheme val="minor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'Resumo Meta'!$B$1</c:f>
              <c:strCache>
                <c:ptCount val="1"/>
                <c:pt idx="0">
                  <c:v> Faturamento Realizado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'Resumo Meta'!$A$2:$A$29</c:f>
              <c:numCache>
                <c:formatCode>m/d/yyyy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46131</c:v>
                </c:pt>
                <c:pt idx="17">
                  <c:v>46132</c:v>
                </c:pt>
                <c:pt idx="18">
                  <c:v>46133</c:v>
                </c:pt>
                <c:pt idx="19">
                  <c:v>46134</c:v>
                </c:pt>
                <c:pt idx="20">
                  <c:v>46135</c:v>
                </c:pt>
                <c:pt idx="21">
                  <c:v>46136</c:v>
                </c:pt>
                <c:pt idx="22">
                  <c:v>46137</c:v>
                </c:pt>
                <c:pt idx="23">
                  <c:v>46138</c:v>
                </c:pt>
                <c:pt idx="24">
                  <c:v>46139</c:v>
                </c:pt>
                <c:pt idx="25">
                  <c:v>46140</c:v>
                </c:pt>
                <c:pt idx="26">
                  <c:v>46141</c:v>
                </c:pt>
                <c:pt idx="27">
                  <c:v>46142</c:v>
                </c:pt>
              </c:numCache>
            </c:numRef>
          </c:cat>
          <c:val>
            <c:numRef>
              <c:f>'Resumo Meta'!$B$2:$B$29</c:f>
              <c:numCache>
                <c:formatCode>_("R$"* #,##0.00_);_("R$"* \(#,##0.00\);_("R$"* "-"??_);_(@_)</c:formatCode>
                <c:ptCount val="28"/>
                <c:pt idx="0">
                  <c:v>87638.19</c:v>
                </c:pt>
                <c:pt idx="1">
                  <c:v>189682.88</c:v>
                </c:pt>
                <c:pt idx="2">
                  <c:v>45242.05</c:v>
                </c:pt>
                <c:pt idx="3">
                  <c:v>192807.22</c:v>
                </c:pt>
                <c:pt idx="4">
                  <c:v>118305.36999999998</c:v>
                </c:pt>
                <c:pt idx="5">
                  <c:v>174499.26</c:v>
                </c:pt>
                <c:pt idx="6">
                  <c:v>200976.49</c:v>
                </c:pt>
                <c:pt idx="7">
                  <c:v>150846.46000000002</c:v>
                </c:pt>
                <c:pt idx="8">
                  <c:v>112977.48999999999</c:v>
                </c:pt>
                <c:pt idx="9">
                  <c:v>319464.58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1-4596-9B8C-84B863D8E9A4}"/>
            </c:ext>
          </c:extLst>
        </c:ser>
        <c:ser>
          <c:idx val="1"/>
          <c:order val="1"/>
          <c:tx>
            <c:strRef>
              <c:f>'Resumo Meta'!$C$1</c:f>
              <c:strCache>
                <c:ptCount val="1"/>
                <c:pt idx="0">
                  <c:v> Planejado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'Resumo Meta'!$A$2:$A$29</c:f>
              <c:numCache>
                <c:formatCode>m/d/yyyy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46118</c:v>
                </c:pt>
                <c:pt idx="5">
                  <c:v>46119</c:v>
                </c:pt>
                <c:pt idx="6">
                  <c:v>46120</c:v>
                </c:pt>
                <c:pt idx="7">
                  <c:v>46121</c:v>
                </c:pt>
                <c:pt idx="8">
                  <c:v>46122</c:v>
                </c:pt>
                <c:pt idx="9">
                  <c:v>46123</c:v>
                </c:pt>
                <c:pt idx="10">
                  <c:v>46125</c:v>
                </c:pt>
                <c:pt idx="11">
                  <c:v>46126</c:v>
                </c:pt>
                <c:pt idx="12">
                  <c:v>46127</c:v>
                </c:pt>
                <c:pt idx="13">
                  <c:v>46128</c:v>
                </c:pt>
                <c:pt idx="14">
                  <c:v>46129</c:v>
                </c:pt>
                <c:pt idx="15">
                  <c:v>46130</c:v>
                </c:pt>
                <c:pt idx="16">
                  <c:v>46131</c:v>
                </c:pt>
                <c:pt idx="17">
                  <c:v>46132</c:v>
                </c:pt>
                <c:pt idx="18">
                  <c:v>46133</c:v>
                </c:pt>
                <c:pt idx="19">
                  <c:v>46134</c:v>
                </c:pt>
                <c:pt idx="20">
                  <c:v>46135</c:v>
                </c:pt>
                <c:pt idx="21">
                  <c:v>46136</c:v>
                </c:pt>
                <c:pt idx="22">
                  <c:v>46137</c:v>
                </c:pt>
                <c:pt idx="23">
                  <c:v>46138</c:v>
                </c:pt>
                <c:pt idx="24">
                  <c:v>46139</c:v>
                </c:pt>
                <c:pt idx="25">
                  <c:v>46140</c:v>
                </c:pt>
                <c:pt idx="26">
                  <c:v>46141</c:v>
                </c:pt>
                <c:pt idx="27">
                  <c:v>46142</c:v>
                </c:pt>
              </c:numCache>
            </c:numRef>
          </c:cat>
          <c:val>
            <c:numRef>
              <c:f>'Resumo Meta'!$C$2:$C$29</c:f>
              <c:numCache>
                <c:formatCode>_("R$"* #,##0.00_);_("R$"* \(#,##0.00\);_("R$"* "-"??_);_(@_)</c:formatCode>
                <c:ptCount val="28"/>
                <c:pt idx="0">
                  <c:v>200000</c:v>
                </c:pt>
                <c:pt idx="1">
                  <c:v>200000</c:v>
                </c:pt>
                <c:pt idx="2">
                  <c:v>200000</c:v>
                </c:pt>
                <c:pt idx="3">
                  <c:v>200000</c:v>
                </c:pt>
                <c:pt idx="4">
                  <c:v>200000</c:v>
                </c:pt>
                <c:pt idx="5">
                  <c:v>200000</c:v>
                </c:pt>
                <c:pt idx="6">
                  <c:v>200000</c:v>
                </c:pt>
                <c:pt idx="7">
                  <c:v>200000</c:v>
                </c:pt>
                <c:pt idx="8">
                  <c:v>200000</c:v>
                </c:pt>
                <c:pt idx="9">
                  <c:v>200000</c:v>
                </c:pt>
                <c:pt idx="10">
                  <c:v>200000</c:v>
                </c:pt>
                <c:pt idx="11">
                  <c:v>200000</c:v>
                </c:pt>
                <c:pt idx="12">
                  <c:v>200000</c:v>
                </c:pt>
                <c:pt idx="13">
                  <c:v>200000</c:v>
                </c:pt>
                <c:pt idx="14">
                  <c:v>200000</c:v>
                </c:pt>
                <c:pt idx="15">
                  <c:v>200000</c:v>
                </c:pt>
                <c:pt idx="16">
                  <c:v>200000</c:v>
                </c:pt>
                <c:pt idx="17">
                  <c:v>200000</c:v>
                </c:pt>
                <c:pt idx="18">
                  <c:v>200000</c:v>
                </c:pt>
                <c:pt idx="19">
                  <c:v>200000</c:v>
                </c:pt>
                <c:pt idx="20">
                  <c:v>200000</c:v>
                </c:pt>
                <c:pt idx="21">
                  <c:v>200000</c:v>
                </c:pt>
                <c:pt idx="22">
                  <c:v>200000</c:v>
                </c:pt>
                <c:pt idx="23">
                  <c:v>200000</c:v>
                </c:pt>
                <c:pt idx="24">
                  <c:v>200000</c:v>
                </c:pt>
                <c:pt idx="25">
                  <c:v>200000</c:v>
                </c:pt>
                <c:pt idx="26">
                  <c:v>200000</c:v>
                </c:pt>
                <c:pt idx="27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1-4596-9B8C-84B863D8E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896544"/>
        <c:axId val="1672906144"/>
      </c:lineChart>
      <c:dateAx>
        <c:axId val="1672896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2906144"/>
        <c:crosses val="autoZero"/>
        <c:auto val="1"/>
        <c:lblOffset val="100"/>
        <c:baseTimeUnit val="days"/>
      </c:dateAx>
      <c:valAx>
        <c:axId val="16729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289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39686</xdr:rowOff>
    </xdr:from>
    <xdr:to>
      <xdr:col>14</xdr:col>
      <xdr:colOff>373063</xdr:colOff>
      <xdr:row>16</xdr:row>
      <xdr:rowOff>65879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302A3832-27F6-3482-8CC8-74CE2606C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3E626F62-CFAF-426D-AF5F-DF07860BE5BF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n Gabriel Barreto Silveira" refreshedDate="46125.712950231478" createdVersion="8" refreshedVersion="8" minRefreshableVersion="3" recordCount="233" xr:uid="{15197EAC-D42F-4716-8FE2-89FC83056D6C}">
  <cacheSource type="worksheet">
    <worksheetSource ref="A1:AC1048576" sheet="Faturamento"/>
  </cacheSource>
  <cacheFields count="29">
    <cacheField name="CHAVE CTe" numFmtId="0">
      <sharedItems containsBlank="1"/>
    </cacheField>
    <cacheField name="FILIAL EMITENTE" numFmtId="0">
      <sharedItems containsBlank="1"/>
    </cacheField>
    <cacheField name="DATA" numFmtId="0">
      <sharedItems containsBlank="1"/>
    </cacheField>
    <cacheField name="CTe" numFmtId="0">
      <sharedItems containsBlank="1"/>
    </cacheField>
    <cacheField name="NFs" numFmtId="0">
      <sharedItems containsBlank="1"/>
    </cacheField>
    <cacheField name="PLACAS" numFmtId="0">
      <sharedItems containsBlank="1"/>
    </cacheField>
    <cacheField name="MOTORISTA" numFmtId="0">
      <sharedItems containsBlank="1"/>
    </cacheField>
    <cacheField name="ORIGEM" numFmtId="0">
      <sharedItems containsBlank="1"/>
    </cacheField>
    <cacheField name="UF ORIGEM" numFmtId="0">
      <sharedItems containsBlank="1"/>
    </cacheField>
    <cacheField name="DESTINO" numFmtId="0">
      <sharedItems containsBlank="1"/>
    </cacheField>
    <cacheField name="UF DESTINO" numFmtId="0">
      <sharedItems containsBlank="1"/>
    </cacheField>
    <cacheField name="TOMADOR" numFmtId="0">
      <sharedItems containsBlank="1"/>
    </cacheField>
    <cacheField name="REMETENTE" numFmtId="0">
      <sharedItems containsBlank="1"/>
    </cacheField>
    <cacheField name="EXPEDIDOR" numFmtId="0">
      <sharedItems containsBlank="1"/>
    </cacheField>
    <cacheField name="DESTINATÁRIO" numFmtId="0">
      <sharedItems containsBlank="1"/>
    </cacheField>
    <cacheField name="RECEBEDOR" numFmtId="0">
      <sharedItems containsBlank="1"/>
    </cacheField>
    <cacheField name="PRODUTO" numFmtId="0">
      <sharedItems containsBlank="1"/>
    </cacheField>
    <cacheField name="QUANTIDADE" numFmtId="0">
      <sharedItems containsString="0" containsBlank="1" containsNumber="1" containsInteger="1" minValue="60" maxValue="63536"/>
    </cacheField>
    <cacheField name="PESO" numFmtId="0">
      <sharedItems containsBlank="1" containsMixedTypes="1" containsNumber="1" containsInteger="1" minValue="26710" maxValue="78040"/>
    </cacheField>
    <cacheField name="VALOR TOTAL" numFmtId="44">
      <sharedItems containsString="0" containsBlank="1" containsNumber="1" minValue="72.790000000000006" maxValue="26344.69"/>
    </cacheField>
    <cacheField name="FRETE PESO" numFmtId="44">
      <sharedItems containsString="0" containsBlank="1" containsNumber="1" minValue="72.790000000000006" maxValue="22398.53"/>
    </cacheField>
    <cacheField name="PEDÁGIO" numFmtId="44">
      <sharedItems containsString="0" containsBlank="1" containsNumber="1" minValue="0" maxValue="1070.3699999999999"/>
    </cacheField>
    <cacheField name="ICMS" numFmtId="44">
      <sharedItems containsString="0" containsBlank="1" containsNumber="1" minValue="0" maxValue="3161.36"/>
    </cacheField>
    <cacheField name="ALÍQUOTA ICMS" numFmtId="0">
      <sharedItems containsString="0" containsBlank="1" containsNumber="1" minValue="0.12" maxValue="0.12"/>
    </cacheField>
    <cacheField name="BASE CÁLCULO" numFmtId="44">
      <sharedItems containsString="0" containsBlank="1" containsNumber="1" minValue="72.790000000000006" maxValue="26344.69"/>
    </cacheField>
    <cacheField name="ROTA" numFmtId="0">
      <sharedItems containsBlank="1" count="47">
        <s v="NOVA INDEPENDENCIA/ARAUCARIA"/>
        <s v="PARANAGUA/IJUI"/>
        <s v="PARANAGUA/LAPA"/>
        <s v="COLORADO/CANOAS"/>
        <s v="CAMARGO/ITAJAI"/>
        <s v="SANTOS/PAULINIA"/>
        <s v="PARANAGUA/ARAUCARIA"/>
        <s v="SAO CARLOS DO IVAI/ARAUCARIA"/>
        <s v="PARANAGUA/MUITOS CAPOES"/>
        <s v="IJUI/CHAPECO"/>
        <s v="CAMARGO/SAO JOSE DOS CAMPOS"/>
        <s v="MUITOS CAPOES/ARAUCARIA"/>
        <s v="PARANAGUA/MAFRA"/>
        <s v="PARANAGUA/SARANDI-PR"/>
        <s v="JOACABA/CUBATAO"/>
        <s v="IJUI/PAULINIA"/>
        <s v="PARANAGUA/LONDRINA"/>
        <s v="IACANGA/ARAUCARIA"/>
        <s v="PARANAGUA/ORTIGUEIRA"/>
        <s v="PARANACITY/ITAJAI"/>
        <s v="PARANAGUA/PASSO FUNDO"/>
        <s v="CT-e COMPLEMENTAR"/>
        <s v="SANTOS/CIANORTE"/>
        <s v="LAPA/PARANAGUA"/>
        <s v="JOACABA/PAULINIA"/>
        <s v="SANTOS/CUBATAO"/>
        <s v="CUBATAO/BAURU"/>
        <s v="SAO CARLOS DO IVAI/ITAJAI"/>
        <s v="LAPA/PAULINIA"/>
        <s v="CAMARGO/BARUERI"/>
        <s v="CAMARGO/PAULINIA"/>
        <s v="JOACABA/SAO JOSE DOS CAMPOS"/>
        <s v="PASSO FUNDO/BAURU"/>
        <s v="IJUI/SAO PAULO"/>
        <s v="MUITOS CAPOES/PAULINIA"/>
        <s v="NARANDIBA/CANOAS"/>
        <s v="SANTOS/PRESIDENTE PRUDENTE"/>
        <s v="CAMARGO/SAO PAULO"/>
        <s v="LUIS ANTONIO/ARAUCARIA"/>
        <s v="NOVA INDEPENDENCIA/PASSO FUNDO"/>
        <s v="PARANAGUA/PRESIDENTE PRUDENTE"/>
        <s v="IJUI/BARUERI"/>
        <s v="ARAUCARIA/PRESIDENTE PRUDENTE"/>
        <s v="ITAJAI/ARAUCARIA"/>
        <m/>
        <s v="PARANAGUA/SARANDI" u="1"/>
        <s v="/" u="1"/>
      </sharedItems>
    </cacheField>
    <cacheField name="KM ROTA" numFmtId="0">
      <sharedItems containsBlank="1" containsMixedTypes="1" containsNumber="1" containsInteger="1" minValue="20" maxValue="1253"/>
    </cacheField>
    <cacheField name="EMPRESA" numFmtId="0">
      <sharedItems containsBlank="1"/>
    </cacheField>
    <cacheField name="CAVALO" numFmtId="0">
      <sharedItems containsBlank="1" containsMixedTypes="1" containsNumber="1" containsInteger="1" minValue="0" maxValue="0" count="60">
        <s v="SEE0I38"/>
        <s v="SEY8B43"/>
        <s v="BDF9C15"/>
        <s v="BDQ4E29"/>
        <s v="TAW8B89"/>
        <s v="SFA7G28"/>
        <n v="0"/>
        <s v="BBM8G62"/>
        <s v="AWZ2403"/>
        <s v="SEE3G48"/>
        <s v="TAW8C01"/>
        <s v="SEE2J92"/>
        <s v="TAW8C09"/>
        <s v="SEX2C73"/>
        <s v="SEE0I13"/>
        <s v="BDQ4E30"/>
        <s v="BBM5I45"/>
        <s v="BAX9A94"/>
        <s v="BDQ4E39"/>
        <s v="BBM5I48"/>
        <s v="TAW2A61"/>
        <s v="SFC5F71"/>
        <s v="SEE2J88"/>
        <s v="SFF3I83"/>
        <s v="RHG5D74"/>
        <s v="RHH5C90"/>
        <s v="SFC5G04"/>
        <s v="SFF3I82"/>
        <s v="RHI3D46"/>
        <s v="SEX2C75"/>
        <s v="SEE2J90"/>
        <s v="SED7D20"/>
        <s v="SEE2J86"/>
        <s v="BDQ4E23"/>
        <s v="SEE0I05"/>
        <s v="SFC5F45"/>
        <s v="SFA7F70"/>
        <s v="TAW8B84"/>
        <s v="RHH5D97"/>
        <s v="BDQ4E18"/>
        <s v="SEE0I16"/>
        <s v="BDQ4E32"/>
        <s v="TAW8B80"/>
        <s v="TAW8B87"/>
        <s v="SEY8B40"/>
        <s v="SEE2J87"/>
        <s v="SEE0H97"/>
        <s v="SER6B09"/>
        <s v="RHH5C95"/>
        <s v="RHH5C92"/>
        <s v="TAW8B90"/>
        <s v="BBL9D24"/>
        <s v="BDQ4E53"/>
        <s v="RHG5D75"/>
        <s v="BEZ9A98"/>
        <s v="BDQ4E19"/>
        <s v="TAW2A67"/>
        <s v="TAW2A65"/>
        <s v="SER3G7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s v="35260425102812000500570030000002211294583682"/>
    <s v="BWT TRANSPORTE E LOGISTICA S. A - PAULINIA"/>
    <s v="01/04/2026"/>
    <s v="221"/>
    <s v="117247"/>
    <s v="SEE0I38 - JBW6D87 - JBW6D88"/>
    <s v="FELIPE NUNES"/>
    <s v="NOVA INDEPENDENCIA"/>
    <s v="SP"/>
    <s v="ARAUCARIA"/>
    <s v="PR"/>
    <s v="IPIRANGA PRODUTOS DE PETROLEO S/A"/>
    <s v="Cooperativa Prod de Cana-de-AA A ca A A car e"/>
    <s v="Cooperativa Prod de Cana-de-AA A ca A A car e"/>
    <s v="IPIRANGA PRODUTOS DE PETROLEO S/A"/>
    <s v="IPIRANGA PRODUTOS DE PETROLEO S/A"/>
    <s v="Etanol Anidro"/>
    <n v="59280"/>
    <n v="46760"/>
    <n v="9979.25"/>
    <n v="8781.74"/>
    <n v="0"/>
    <n v="1197.51"/>
    <n v="0.12"/>
    <n v="9979.25"/>
    <x v="0"/>
    <n v="689"/>
    <s v="BWT"/>
    <x v="0"/>
  </r>
  <r>
    <s v="41260425102812000179570030000007811071870131"/>
    <s v="BWT ARAUCARIA - ARAUCARIA"/>
    <s v="01/04/2026"/>
    <s v="781"/>
    <s v="1094443"/>
    <s v="BDU5F20 - BDU5F25 - SEY8B43"/>
    <s v="JOAQUIM RAIMUNDO PORTES JUNIOR"/>
    <s v="PARANAGUA"/>
    <s v="PR"/>
    <s v="IJUI"/>
    <s v="RS"/>
    <s v="CAMERA AGROALIMENTOS S A"/>
    <s v="CATTALINI TERMINAIS MARITIMOS S/A"/>
    <s v="CATTALINI TERMINAIS MARITIMOS S/A"/>
    <s v="CAMERA AGROALIMENTOS S A"/>
    <s v="CAMERA AGROALIMENTOS S A"/>
    <s v="METANOL - ONU 1230"/>
    <n v="47654"/>
    <n v="73774"/>
    <n v="10674.5"/>
    <n v="9106.06"/>
    <n v="326.7"/>
    <n v="1241.74"/>
    <n v="0.12"/>
    <n v="10347.799999999999"/>
    <x v="1"/>
    <n v="800"/>
    <s v="BWT"/>
    <x v="1"/>
  </r>
  <r>
    <s v="41260425102812000179570030000007821994434323"/>
    <s v="BWT ARAUCARIA - ARAUCARIA"/>
    <s v="01/04/2026"/>
    <s v="782"/>
    <s v="1094454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7800"/>
    <n v="58260"/>
    <n v="3882.06"/>
    <n v="3882.06"/>
    <n v="0"/>
    <n v="0"/>
    <m/>
    <m/>
    <x v="2"/>
    <n v="153"/>
    <s v="BWT"/>
    <x v="2"/>
  </r>
  <r>
    <s v="41260425102812000179570030000007831986410787"/>
    <s v="BWT ARAUCARIA - ARAUCARIA"/>
    <s v="01/04/2026"/>
    <s v="783"/>
    <s v="1094464"/>
    <s v="BDQ4E29 - IZW8A03 - IZW8A02"/>
    <s v="LUIZ CARLOS COELH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8480"/>
    <n v="73760"/>
    <n v="4443.1899999999996"/>
    <n v="4443.1899999999996"/>
    <n v="0"/>
    <n v="0"/>
    <m/>
    <m/>
    <x v="2"/>
    <n v="153"/>
    <s v="BWT"/>
    <x v="3"/>
  </r>
  <r>
    <s v="41260425102812000179570030000007861155759734"/>
    <s v="BWT ARAUCARIA - ARAUCARIA"/>
    <s v="01/04/2026"/>
    <s v="786"/>
    <s v="1160372 - 1160373"/>
    <s v="JCV2H63 - TAW8B89 - JCV2H01"/>
    <s v="AMAURI DOS SANTOS PEREIRA"/>
    <s v="COLORADO"/>
    <s v="PR"/>
    <s v="CANOAS"/>
    <s v="RS"/>
    <s v="IPIRANGA PRODUTOS DE PETROLEO S/A"/>
    <s v="USINA ALTO ALEGRE S.A - ACUCAR E AL"/>
    <s v="USINA ALTO ALEGRE S.A - ACUCAR E AL"/>
    <s v="IPIRANGA PRODUTOS DE PETROLEO S/A"/>
    <s v="IPIRANGA PRODUTOS DE PETROLEO S/A"/>
    <s v="Etanol Anidro"/>
    <n v="59468"/>
    <n v="47120"/>
    <n v="16881.48"/>
    <n v="14855.7"/>
    <n v="0"/>
    <n v="2025.78"/>
    <n v="0.12"/>
    <n v="16881.48"/>
    <x v="3"/>
    <n v="1123"/>
    <s v="BWT"/>
    <x v="4"/>
  </r>
  <r>
    <s v="41260425102812000179570030000007871097679700"/>
    <s v="BWT ARAUCARIA - ARAUCARIA"/>
    <s v="01/04/2026"/>
    <s v="787"/>
    <s v="1160384"/>
    <s v="JAS1A99 - JAS0J82 - SFA7G28"/>
    <s v="EDUARDO RAFAEL BORGES"/>
    <s v="COLORADO"/>
    <s v="PR"/>
    <s v="CANOAS"/>
    <s v="RS"/>
    <s v="IPIRANGA PRODUTOS DE PETROLEO S/A"/>
    <s v="USINA ALTO ALEGRE S.A - ACUCAR E AL"/>
    <s v="USINA ALTO ALEGRE S.A - ACUCAR E AL"/>
    <s v="IPIRANGA PRODUTOS DE PETROLEO S/A"/>
    <s v="IPIRANGA PRODUTOS DE PETROLEO S/A"/>
    <s v="Etanol Anidro"/>
    <n v="59478"/>
    <n v="47000"/>
    <n v="16884.32"/>
    <n v="14858.2"/>
    <n v="0"/>
    <n v="2026.12"/>
    <n v="0.12"/>
    <n v="16884.32"/>
    <x v="3"/>
    <n v="1123"/>
    <s v="BWT"/>
    <x v="5"/>
  </r>
  <r>
    <s v="41260425102812000179570030000007881910591310"/>
    <s v="BWT ARAUCARIA - ARAUCARIA"/>
    <s v="01/04/2026"/>
    <s v="788"/>
    <s v="1094523"/>
    <s v="SFF3I76 - JCP3I14 - JCP5G54"/>
    <s v="JOSIANE DE FREITAS CABRAL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7500"/>
    <n v="73680"/>
    <n v="4353.38"/>
    <n v="4353.38"/>
    <n v="0"/>
    <n v="0"/>
    <m/>
    <m/>
    <x v="2"/>
    <n v="153"/>
    <s v="SUBCONTRATADO"/>
    <x v="6"/>
  </r>
  <r>
    <s v="41260425102812000179570030000007891751295078"/>
    <s v="BWT ARAUCARIA - ARAUCARIA"/>
    <s v="01/04/2026"/>
    <s v="789"/>
    <s v="1094543"/>
    <s v="SED7C99 - RYD5E39 - RYD5E29"/>
    <s v="WESLEY MILHOMEM DE SOUS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8560"/>
    <n v="73900"/>
    <n v="4450.5200000000004"/>
    <n v="4450.5200000000004"/>
    <n v="0"/>
    <n v="0"/>
    <m/>
    <m/>
    <x v="2"/>
    <n v="153"/>
    <s v="SUBCONTRATADO"/>
    <x v="6"/>
  </r>
  <r>
    <s v="41260425102812000179570030000007901039058957"/>
    <s v="BWT ARAUCARIA - ARAUCARIA"/>
    <s v="01/04/2026"/>
    <s v="790"/>
    <s v="1094592"/>
    <s v="BBQ6I94 - BBM8G62"/>
    <s v="LUIZ GERVASIO STROPAR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720"/>
    <n v="58360"/>
    <n v="3976.54"/>
    <n v="3976.54"/>
    <n v="0"/>
    <n v="0"/>
    <m/>
    <m/>
    <x v="2"/>
    <n v="153"/>
    <s v="BWT"/>
    <x v="7"/>
  </r>
  <r>
    <s v="41260425102812000179570030000007911314509389"/>
    <s v="BWT ARAUCARIA - ARAUCARIA"/>
    <s v="01/04/2026"/>
    <s v="791"/>
    <s v="1094646"/>
    <s v="JCI5E48 - AWZ2403"/>
    <s v="JOAO GABRIEL DA CRUZ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9020"/>
    <n v="58300"/>
    <n v="4007.35"/>
    <n v="4007.35"/>
    <n v="0"/>
    <n v="0"/>
    <m/>
    <m/>
    <x v="2"/>
    <n v="153"/>
    <s v="BWT"/>
    <x v="8"/>
  </r>
  <r>
    <s v="43260425102812000250570030000002421011066038"/>
    <s v="BWT TRANSPORTE E LOGISTICA S. A - ESTEIO"/>
    <s v="01/04/2026"/>
    <s v="242"/>
    <s v="86696"/>
    <s v="SEE3G48 - JBT6B10 - JBT6B27"/>
    <s v="RAFAEL SOUZA MIRANDA"/>
    <s v="CAMARGO"/>
    <s v="RS"/>
    <s v="ITAJAI"/>
    <s v="SC"/>
    <s v="IPIRANGA PRODUTOS DE PETROLEO S.A"/>
    <s v="FUGA S.A"/>
    <s v="FUGA S.A"/>
    <s v="IPIRANGA PRODUTOS DE PETROLEO S.A"/>
    <s v="IPIRANGA PRODUTOS DE PETROLEO S.A"/>
    <s v="Biodiesel - B100"/>
    <n v="59610"/>
    <n v="52060"/>
    <n v="8105.6"/>
    <n v="7132.93"/>
    <n v="0"/>
    <n v="972.67"/>
    <n v="0.12"/>
    <n v="8105.6"/>
    <x v="4"/>
    <n v="560"/>
    <s v="BWT"/>
    <x v="9"/>
  </r>
  <r>
    <s v="35260425102812000500570030000002221953168362"/>
    <s v="BWT TRANSPORTE E LOGISTICA S. A - PAULINIA"/>
    <s v="02/04/2026"/>
    <s v="222"/>
    <s v="30130"/>
    <s v="TAW8C01 - RYF3A30 - RYF2J90"/>
    <s v="ROBERTO RIVELINO CABRAL"/>
    <s v="SANTOS"/>
    <s v="SP"/>
    <s v="PAULINIA"/>
    <s v="SP"/>
    <s v="IPIRANGA PRODUTOS DE PETROLEO S.A."/>
    <s v="ULTRACARGO LOGISTICA S.A"/>
    <s v="IPIRANGA PRODUTOS DE PETROLEO S.A."/>
    <s v="IPIRANGA PRODUTOS DE PETROLEO S/A"/>
    <s v="IPIRANGA PRODUTOS DE PETROLEO S/A"/>
    <s v="Gasolina A"/>
    <n v="63536"/>
    <n v="44469"/>
    <n v="3150.09"/>
    <n v="2772.08"/>
    <n v="0"/>
    <n v="378.01"/>
    <n v="0.12"/>
    <n v="3150.09"/>
    <x v="5"/>
    <n v="215"/>
    <s v="BWT"/>
    <x v="10"/>
  </r>
  <r>
    <s v="35260425102812000500570030000002241867421432"/>
    <s v="BWT TRANSPORTE E LOGISTICA S. A - PAULINIA"/>
    <s v="02/04/2026"/>
    <s v="224"/>
    <s v="30141"/>
    <s v="JBT9E33 - SEE2J92 - JBT9E30"/>
    <s v="SILAS DE LIMA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294"/>
    <n v="44299"/>
    <n v="3150.32"/>
    <n v="2772.28"/>
    <n v="0"/>
    <n v="378.04"/>
    <n v="0.12"/>
    <n v="3150.32"/>
    <x v="5"/>
    <n v="215"/>
    <s v="BWT"/>
    <x v="11"/>
  </r>
  <r>
    <s v="35260425102812000500570030000002251350531823"/>
    <s v="BWT TRANSPORTE E LOGISTICA S. A - PAULINIA"/>
    <s v="02/04/2026"/>
    <s v="225"/>
    <s v="30161"/>
    <s v="JCW7D75 - TAW8C09 - JCX7F40"/>
    <s v="CLAIR SONAI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081"/>
    <n v="44150"/>
    <n v="3149.75"/>
    <n v="2771.78"/>
    <n v="0"/>
    <n v="377.97"/>
    <n v="0.12"/>
    <n v="3149.75"/>
    <x v="5"/>
    <n v="215"/>
    <s v="BWT"/>
    <x v="12"/>
  </r>
  <r>
    <s v="35260425102812000500570030000002271876374885"/>
    <s v="BWT TRANSPORTE E LOGISTICA S. A - PAULINIA"/>
    <s v="02/04/2026"/>
    <s v="227"/>
    <s v="30177"/>
    <s v="AYP3139 - SEX2C73 - AYP3138"/>
    <s v="MARIOVANY QUIRINO GOMES"/>
    <s v="SANTOS"/>
    <s v="SP"/>
    <s v="PAULINIA"/>
    <s v="SP"/>
    <s v="IPIRANGA PRODUTOS DE PETROLEO S.A."/>
    <s v="ULTRACARGO LOGISTICA S.A"/>
    <s v="IPIRANGA PRODUTOS DE PETROLEO S.A."/>
    <s v="IPIRANGA PRODUTOS DE PETROLEO S/A"/>
    <s v="IPIRANGA PRODUTOS DE PETROLEO S/A"/>
    <s v="Gasolina A"/>
    <n v="63102"/>
    <n v="44165"/>
    <n v="3150.08"/>
    <n v="2772.07"/>
    <n v="0"/>
    <n v="378.01"/>
    <n v="0.12"/>
    <n v="3150.08"/>
    <x v="5"/>
    <n v="215"/>
    <s v="BWT"/>
    <x v="13"/>
  </r>
  <r>
    <s v="35260425102812000500570030000002281305142289"/>
    <s v="BWT TRANSPORTE E LOGISTICA S. A - PAULINIA"/>
    <s v="02/04/2026"/>
    <s v="228"/>
    <s v="30197"/>
    <s v="SEE0I13 - RYG6E81 - RYG6F31"/>
    <s v="ALAOR BATISTA DE FREITAS"/>
    <s v="SANTOS"/>
    <s v="SP"/>
    <s v="PAULINIA"/>
    <s v="SP"/>
    <s v="IPIRANGA PRODUTOS DE PETROLEO S.A."/>
    <s v="ULTRACARGO LOGISTICA S.A"/>
    <s v="IPIRANGA PRODUTOS DE PETROLEO S.A."/>
    <s v="IPIRANGA PRODUTOS DE PETROLEO S/A"/>
    <s v="IPIRANGA PRODUTOS DE PETROLEO S/A"/>
    <s v="Gasolina A"/>
    <n v="63218"/>
    <n v="45700"/>
    <n v="3150.12"/>
    <n v="2772.11"/>
    <n v="0"/>
    <n v="378.01"/>
    <n v="0.12"/>
    <n v="3150.12"/>
    <x v="5"/>
    <n v="215"/>
    <s v="BWT"/>
    <x v="14"/>
  </r>
  <r>
    <s v="35260425102812000500570030000002291341401032"/>
    <s v="BWT TRANSPORTE E LOGISTICA S. A - PAULINIA"/>
    <s v="02/04/2026"/>
    <s v="229"/>
    <s v="30198"/>
    <s v="JBT6B33 - BDQ4E30"/>
    <s v="NEY CESAR WANDERLINDE LEINEKER"/>
    <s v="SANTOS"/>
    <s v="SP"/>
    <s v="PAULINIA"/>
    <s v="SP"/>
    <s v="IPIRANGA PRODUTOS DE PETROLEO S.A."/>
    <s v="ULTRACARGO LOGISTICA S.A"/>
    <s v="IPIRANGA PRODUTOS DE PETROLEO S.A."/>
    <s v="IPIRANGA PRODUTOS DE PETROLEO S/A"/>
    <s v="IPIRANGA PRODUTOS DE PETROLEO S/A"/>
    <s v="Gasolina A"/>
    <n v="49711"/>
    <n v="35911"/>
    <n v="2360.15"/>
    <n v="2076.9299999999998"/>
    <n v="0"/>
    <n v="283.22000000000003"/>
    <n v="0.12"/>
    <n v="2360.15"/>
    <x v="5"/>
    <n v="215"/>
    <s v="BWT"/>
    <x v="15"/>
  </r>
  <r>
    <s v="35260425102812000500570030000002301974589547"/>
    <s v="BWT TRANSPORTE E LOGISTICA S. A - PAULINIA"/>
    <s v="02/04/2026"/>
    <s v="230"/>
    <s v="30203"/>
    <s v="BBM5I45 - BBQ6I95"/>
    <s v="VLADEMIR JORGE SANTOS"/>
    <s v="SANTOS"/>
    <s v="SP"/>
    <s v="PAULINIA"/>
    <s v="SP"/>
    <s v="IPIRANGA PRODUTOS DE PETROLEO S.A."/>
    <s v="ULTRACARGO LOGISTICA S.A"/>
    <s v="IPIRANGA PRODUTOS DE PETROLEO S.A."/>
    <s v="IPIRANGA PRODUTOS DE PETROLEO S/A"/>
    <s v="IPIRANGA PRODUTOS DE PETROLEO S/A"/>
    <s v="Gasolina A"/>
    <n v="42448"/>
    <n v="30686"/>
    <n v="2360.1999999999998"/>
    <n v="2076.98"/>
    <n v="0"/>
    <n v="283.22000000000003"/>
    <n v="0.12"/>
    <n v="2360.1999999999998"/>
    <x v="5"/>
    <n v="215"/>
    <s v="BWT"/>
    <x v="16"/>
  </r>
  <r>
    <s v="35260425102812000500570030000002311869894480"/>
    <s v="BWT TRANSPORTE E LOGISTICA S. A - PAULINIA"/>
    <s v="02/04/2026"/>
    <s v="231"/>
    <s v="30207"/>
    <s v="JCI7B71 - BAX9A94"/>
    <s v="FRANCISCO ADEMIR MORO JUNIOR"/>
    <s v="SANTOS"/>
    <s v="SP"/>
    <s v="PAULINIA"/>
    <s v="SP"/>
    <s v="IPIRANGA PRODUTOS DE PETROLEO S.A."/>
    <s v="ULTRACARGO LOGISTICA S.A"/>
    <s v="IPIRANGA PRODUTOS DE PETROLEO S.A."/>
    <s v="IPIRANGA PRODUTOS DE PETROLEO S/A"/>
    <s v="IPIRANGA PRODUTOS DE PETROLEO S/A"/>
    <s v="Gasolina A"/>
    <n v="49574"/>
    <n v="35812"/>
    <n v="2359.83"/>
    <n v="2076.65"/>
    <n v="0"/>
    <n v="283.18"/>
    <n v="0.12"/>
    <n v="2359.83"/>
    <x v="5"/>
    <n v="215"/>
    <s v="BWT"/>
    <x v="17"/>
  </r>
  <r>
    <s v="41260425102812000179570030000007921843806643"/>
    <s v="BWT ARAUCARIA - ARAUCARIA"/>
    <s v="02/04/2026"/>
    <s v="792"/>
    <s v="1094764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7820"/>
    <n v="58140"/>
    <n v="3884.11"/>
    <n v="3884.11"/>
    <n v="0"/>
    <n v="0"/>
    <m/>
    <m/>
    <x v="2"/>
    <n v="153"/>
    <s v="BWT"/>
    <x v="2"/>
  </r>
  <r>
    <s v="41260425102812000179570030000007931866698844"/>
    <s v="BWT ARAUCARIA - ARAUCARIA"/>
    <s v="02/04/2026"/>
    <s v="793"/>
    <s v="1066149"/>
    <s v="BDQ4E39"/>
    <s v="CESAR AUGUSTO DA SILVA"/>
    <s v="PARANAGUA"/>
    <s v="PR"/>
    <s v="ARAUCARIA"/>
    <s v="PR"/>
    <s v="IPIRANGA PRODUTOS DE PETROLEO S/A"/>
    <s v="CATTALINI TERMINAIS MARITIMOS S/A"/>
    <s v="CATTALINI TERMINAIS MARITIMOS S/A"/>
    <s v="IPIRANGA PRODUTOS DE PETROLEO S/A"/>
    <s v="IPIRANGA PRODUTOS DE PETROLEO S/A"/>
    <s v="Diesel S10 A"/>
    <n v="58548"/>
    <n v="73920"/>
    <n v="355.91"/>
    <n v="355.91"/>
    <n v="0"/>
    <n v="0"/>
    <m/>
    <m/>
    <x v="6"/>
    <n v="109"/>
    <s v="BWT"/>
    <x v="18"/>
  </r>
  <r>
    <s v="41260425102812000179570030000007941740369970"/>
    <s v="BWT ARAUCARIA - ARAUCARIA"/>
    <s v="02/04/2026"/>
    <s v="794"/>
    <s v="1094904"/>
    <s v="BBQ6I94 - BBM8G62"/>
    <s v="LUIZ GERVASIO STROPAR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824"/>
    <n v="58304"/>
    <n v="3987.22"/>
    <n v="3987.22"/>
    <n v="0"/>
    <n v="0"/>
    <m/>
    <m/>
    <x v="2"/>
    <n v="153"/>
    <s v="BWT"/>
    <x v="7"/>
  </r>
  <r>
    <s v="41260425102812000179570030000007951681978420"/>
    <s v="BWT ARAUCARIA - ARAUCARIA"/>
    <s v="02/04/2026"/>
    <s v="795"/>
    <s v="1094907"/>
    <s v="JCI5E48 - AWZ2403"/>
    <s v="JOAO GABRIEL DA CRUZ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9040"/>
    <n v="58200"/>
    <n v="4009.41"/>
    <n v="4009.41"/>
    <n v="0"/>
    <n v="0"/>
    <m/>
    <m/>
    <x v="2"/>
    <n v="153"/>
    <s v="BWT"/>
    <x v="8"/>
  </r>
  <r>
    <s v="41260425102812000179570030000007971561375005"/>
    <s v="BWT ARAUCARIA - ARAUCARIA"/>
    <s v="02/04/2026"/>
    <s v="797"/>
    <s v="1094918"/>
    <s v="BBM5I48"/>
    <s v="FERNANDO JOSE CARVALH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357"/>
    <n v="58357"/>
    <n v="3939.26"/>
    <n v="3939.26"/>
    <n v="0"/>
    <n v="0"/>
    <m/>
    <m/>
    <x v="2"/>
    <n v="153"/>
    <s v="BWT"/>
    <x v="19"/>
  </r>
  <r>
    <s v="41260425102812000179570030000007981828867258"/>
    <s v="BWT ARAUCARIA - ARAUCARIA"/>
    <s v="02/04/2026"/>
    <s v="798"/>
    <s v="327582"/>
    <s v="JCW7C11 - JCW7D87 - TAW2A61"/>
    <s v="ALCIONE DE CASTRO"/>
    <s v="SAO CARLOS DO IVAI"/>
    <s v="PR"/>
    <s v="ARAUCARIA"/>
    <s v="PR"/>
    <s v="IPIRANGA PRODUTOS DE PETROLEO S/A"/>
    <s v="COOPERATIVA AGRICOLA REGIONAL DE PR RES DE CAN"/>
    <s v="COOPERATIVA AGRICOLA REGIONAL DE PR RES DE CAN"/>
    <s v="IPIRANGA PRODUTOS DE PETROLEO S/A"/>
    <s v="IPIRANGA PRODUTOS DE PETROLEO S/A"/>
    <s v="Etanol Anidro"/>
    <n v="59400"/>
    <n v="46900"/>
    <n v="6424.11"/>
    <n v="6424.11"/>
    <n v="0"/>
    <n v="0"/>
    <m/>
    <m/>
    <x v="7"/>
    <n v="491"/>
    <s v="BWT"/>
    <x v="20"/>
  </r>
  <r>
    <s v="41260425102812000179570030000007991523361048"/>
    <s v="BWT ARAUCARIA - ARAUCARIA"/>
    <s v="02/04/2026"/>
    <s v="799"/>
    <s v="327587"/>
    <s v="JAO3A97 - SFC5F71 - JAO3A88"/>
    <s v="RENATO GASPARELLO"/>
    <s v="SAO CARLOS DO IVAI"/>
    <s v="PR"/>
    <s v="ARAUCARIA"/>
    <s v="PR"/>
    <s v="IPIRANGA PRODUTOS DE PETROLEO S/A"/>
    <s v="COOPERATIVA AGRICOLA REGIONAL DE PR RES DE CAN"/>
    <s v="COOPERATIVA AGRICOLA REGIONAL DE PR RES DE CAN"/>
    <s v="IPIRANGA PRODUTOS DE PETROLEO S/A"/>
    <s v="IPIRANGA PRODUTOS DE PETROLEO S/A"/>
    <s v="Etanol Anidro"/>
    <n v="59454"/>
    <n v="46940"/>
    <n v="6429.95"/>
    <n v="6429.95"/>
    <n v="0"/>
    <n v="0"/>
    <m/>
    <m/>
    <x v="7"/>
    <n v="491"/>
    <s v="BWT"/>
    <x v="21"/>
  </r>
  <r>
    <s v="41260425102812000179570030000008001608697825"/>
    <s v="BWT ARAUCARIA - ARAUCARIA"/>
    <s v="02/04/2026"/>
    <s v="800"/>
    <s v="2694"/>
    <s v="SED7C99 - RYD5E39 - RYD5E29"/>
    <s v="WESLEY MILHOMEM DE SOUSA"/>
    <s v="PARANAGUA"/>
    <s v="PR"/>
    <s v="MUITOS CAPOES"/>
    <s v="RS"/>
    <s v="BOCCHI INDUSTRIA E COMERCIO DE CERE TDA"/>
    <s v="BWI TRADING COMERCIAL IMPORTADORA E RTADORA LTDA"/>
    <s v="CATTALINI TERMINAIS MARITIMOS S/A"/>
    <s v="BOCCHI INDUSTRIA E COMERCIO DE CERE TDA"/>
    <s v="BOCCHI INDUSTRIA E COMERCIO DE CERE TDA"/>
    <s v="METANOL - ONU 1230"/>
    <n v="48660"/>
    <n v="73820"/>
    <n v="10461.9"/>
    <n v="8671.8700000000008"/>
    <n v="607.5"/>
    <n v="1182.53"/>
    <n v="0.12"/>
    <n v="9854.4"/>
    <x v="8"/>
    <n v="581"/>
    <s v="SUBCONTRATADO"/>
    <x v="6"/>
  </r>
  <r>
    <s v="43260425102812000250570030000002431986819908"/>
    <s v="BWT TRANSPORTE E LOGISTICA S. A - ESTEIO"/>
    <s v="02/04/2026"/>
    <s v="243"/>
    <s v="101064"/>
    <s v="SEE2J88 - RYF2J50 - RYF2J80"/>
    <s v="MARCOS AURELIO NOGUEIRA"/>
    <s v="IJUI"/>
    <s v="RS"/>
    <s v="CHAPECO"/>
    <s v="SC"/>
    <s v="IPIRANGA PRODUTOS DE PETROLEO S.A."/>
    <s v="TRES TENTOS AGROINDUSTRIAL S/A"/>
    <s v="TRES TENTOS AGROINDUSTRIAL S/A"/>
    <s v="IPIRANGA PRODUTOS DE PETROLEO S.A."/>
    <s v="IPIRANGA PRODUTOS DE PETROLEO S.A."/>
    <s v="Biodiesel - B100"/>
    <n v="58599"/>
    <n v="51680"/>
    <n v="5327.18"/>
    <n v="4687.92"/>
    <n v="0"/>
    <n v="639.26"/>
    <n v="0.12"/>
    <n v="5327.18"/>
    <x v="9"/>
    <n v="279"/>
    <s v="BWT"/>
    <x v="22"/>
  </r>
  <r>
    <s v="43260425102812000250570030000002461954966869"/>
    <s v="BWT TRANSPORTE E LOGISTICA S. A - ESTEIO"/>
    <s v="02/04/2026"/>
    <s v="246"/>
    <s v="86744"/>
    <s v="SFF3I83 - JCO8H43 - JCO8H36"/>
    <s v="WALDECIR JOSE XAVIER"/>
    <s v="CAMARGO"/>
    <s v="RS"/>
    <s v="SAO JOSE DOS CAMPOS"/>
    <s v="SP"/>
    <s v="VIBRA ENERGIA SA"/>
    <s v="FUGA S.A"/>
    <s v="FUGA S.A"/>
    <s v="VIBRA ENERGIA SA"/>
    <s v="VIBRA ENERGIA SA"/>
    <s v="Biodiesel - B100"/>
    <n v="59634"/>
    <n v="52160"/>
    <n v="26344.69"/>
    <n v="22398.53"/>
    <n v="784.8"/>
    <n v="3161.36"/>
    <n v="0.12"/>
    <n v="26344.69"/>
    <x v="10"/>
    <n v="1109"/>
    <s v="BWT"/>
    <x v="23"/>
  </r>
  <r>
    <s v="43260425102812000250570030000002471825087432"/>
    <s v="BWT TRANSPORTE E LOGISTICA S. A - ESTEIO"/>
    <s v="02/04/2026"/>
    <s v="247"/>
    <s v="86743"/>
    <s v="RHG5D74 - JAO8A83 - JAO8A77"/>
    <s v="CLAUDINIR RODRIGUES GARCIA"/>
    <s v="CAMARGO"/>
    <s v="RS"/>
    <s v="SAO JOSE DOS CAMPOS"/>
    <s v="SP"/>
    <s v="VIBRA ENERGIA SA"/>
    <s v="FUGA S.A"/>
    <s v="FUGA S.A"/>
    <s v="VIBRA ENERGIA SA"/>
    <s v="VIBRA ENERGIA SA"/>
    <s v="Biodiesel - B100"/>
    <n v="59634"/>
    <n v="52060"/>
    <n v="26344.69"/>
    <n v="22398.53"/>
    <n v="784.8"/>
    <n v="3161.36"/>
    <n v="0.12"/>
    <n v="26344.69"/>
    <x v="10"/>
    <n v="1109"/>
    <s v="BWT"/>
    <x v="24"/>
  </r>
  <r>
    <s v="43260425102812000250570030000002481326650228"/>
    <s v="BWT TRANSPORTE E LOGISTICA S. A - ESTEIO"/>
    <s v="02/04/2026"/>
    <s v="248"/>
    <s v="86750"/>
    <s v="JAZ8G73 - JAZ8G81 - RHH5C90"/>
    <s v="ANTONIO HENRIQUE DE SOUZA"/>
    <s v="CAMARGO"/>
    <s v="RS"/>
    <s v="SAO JOSE DOS CAMPOS"/>
    <s v="SP"/>
    <s v="VIBRA ENERGIA SA"/>
    <s v="FUGA S.A"/>
    <s v="FUGA S.A"/>
    <s v="VIBRA ENERGIA SA"/>
    <s v="VIBRA ENERGIA SA"/>
    <s v="Biodiesel - B100"/>
    <n v="59610"/>
    <n v="52200"/>
    <n v="26334.45"/>
    <n v="22389.52"/>
    <n v="784.8"/>
    <n v="3160.13"/>
    <n v="0.12"/>
    <n v="26334.45"/>
    <x v="10"/>
    <n v="1109"/>
    <s v="BWT"/>
    <x v="25"/>
  </r>
  <r>
    <s v="43260425102812000250570030000002491425284286"/>
    <s v="BWT TRANSPORTE E LOGISTICA S. A - ESTEIO"/>
    <s v="02/04/2026"/>
    <s v="249"/>
    <s v="86751"/>
    <s v="SFC5G04 - JAU3A45 - JAU3A29"/>
    <s v="JONATAN MODESTO"/>
    <s v="CAMARGO"/>
    <s v="RS"/>
    <s v="SAO JOSE DOS CAMPOS"/>
    <s v="SP"/>
    <s v="VIBRA ENERGIA SA"/>
    <s v="FUGA S.A"/>
    <s v="FUGA S.A"/>
    <s v="VIBRA ENERGIA SA"/>
    <s v="VIBRA ENERGIA SA"/>
    <s v="Biodiesel - B100"/>
    <n v="59592"/>
    <n v="52140"/>
    <n v="26326.77"/>
    <n v="22382.76"/>
    <n v="784.8"/>
    <n v="3159.21"/>
    <n v="0.12"/>
    <n v="26326.77"/>
    <x v="10"/>
    <n v="1109"/>
    <s v="BWT"/>
    <x v="26"/>
  </r>
  <r>
    <s v="43260425102812000250570030000002501559917748"/>
    <s v="BWT TRANSPORTE E LOGISTICA S. A - ESTEIO"/>
    <s v="02/04/2026"/>
    <s v="250"/>
    <s v="39287"/>
    <s v="SFF3I82 - JCO4B49 - JCO4B32"/>
    <s v="ANDRIELIA APARECIDA GOMES"/>
    <s v="MUITOS CAPOES"/>
    <s v="RS"/>
    <s v="ARAUCARIA"/>
    <s v="PR"/>
    <s v="ROYAL FIC DISTRIBUIDORA DE DERIVADO OLEO S/A"/>
    <s v="BOCCHI INDUSTRIA E COMERCIO DE CERE TDA"/>
    <s v="BOCCHI INDUSTRIA E COMERCIO DE CERE TDA"/>
    <s v="ROYAL FIC DISTRIBUIDORA DE DERIVADO OLEO S/A"/>
    <s v="ROYAL FIC DISTRIBUIDORA DE DERIVADO OLEO S/A"/>
    <s v="Biodiesel - B100"/>
    <n v="59604"/>
    <n v="77880"/>
    <n v="8344.56"/>
    <n v="6951.71"/>
    <n v="391.5"/>
    <n v="1001.35"/>
    <n v="0.12"/>
    <n v="8344.56"/>
    <x v="11"/>
    <n v="495"/>
    <s v="BWT"/>
    <x v="27"/>
  </r>
  <r>
    <s v="43260425102812000250570030000002511709798290"/>
    <s v="BWT TRANSPORTE E LOGISTICA S. A - ESTEIO"/>
    <s v="02/04/2026"/>
    <s v="251"/>
    <s v="39288"/>
    <s v="JAS4J43 - JAS4J59 - RHI3D46"/>
    <s v="ELENILDO GOMES DA SILVA"/>
    <s v="MUITOS CAPOES"/>
    <s v="RS"/>
    <s v="ARAUCARIA"/>
    <s v="PR"/>
    <s v="ROYAL FIC DISTRIBUIDORA DE DERIVADO OLEO S/A"/>
    <s v="BOCCHI INDUSTRIA E COMERCIO DE CERE TDA"/>
    <s v="BOCCHI INDUSTRIA E COMERCIO DE CERE TDA"/>
    <s v="ROYAL FIC DISTRIBUIDORA DE DERIVADO OLEO S/A"/>
    <s v="ROYAL FIC DISTRIBUIDORA DE DERIVADO OLEO S/A"/>
    <s v="Biodiesel - B100"/>
    <n v="59558"/>
    <n v="77960"/>
    <n v="8338.1299999999992"/>
    <n v="6946.05"/>
    <n v="391.5"/>
    <n v="1000.58"/>
    <n v="0.12"/>
    <n v="8338.1299999999992"/>
    <x v="11"/>
    <n v="495"/>
    <s v="BWT"/>
    <x v="28"/>
  </r>
  <r>
    <s v="35260425102812000500570030000002321200284957"/>
    <s v="BWT TRANSPORTE E LOGISTICA S. A - PAULINIA"/>
    <s v="03/04/2026"/>
    <s v="232"/>
    <s v="30222"/>
    <s v="JAV7E00 - SEX2C75 - JAV7E07"/>
    <s v="FRANCISCO JOSE ESTEV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211"/>
    <n v="45664"/>
    <n v="3149.77"/>
    <n v="2771.8"/>
    <n v="0"/>
    <n v="377.97"/>
    <n v="0.12"/>
    <n v="3149.77"/>
    <x v="5"/>
    <n v="215"/>
    <s v="BWT"/>
    <x v="29"/>
  </r>
  <r>
    <s v="35260425102812000500570030000002331121730382"/>
    <s v="BWT TRANSPORTE E LOGISTICA S. A - PAULINIA"/>
    <s v="03/04/2026"/>
    <s v="233"/>
    <s v="30224"/>
    <s v="SEE2J90 - RYG6E01 - RYG6D61"/>
    <s v="VILSO DE OLIVEIRA COSTA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191"/>
    <n v="45681"/>
    <n v="3150.22"/>
    <n v="2772.19"/>
    <n v="0"/>
    <n v="378.03"/>
    <n v="0.12"/>
    <n v="3150.22"/>
    <x v="5"/>
    <n v="215"/>
    <s v="BWT"/>
    <x v="30"/>
  </r>
  <r>
    <s v="35260425102812000500570030000002341316483322"/>
    <s v="BWT TRANSPORTE E LOGISTICA S. A - PAULINIA"/>
    <s v="03/04/2026"/>
    <s v="234"/>
    <s v="30226"/>
    <s v="BDQ4E29 - IZW8A03 - IZW8A02"/>
    <s v="LUIZ CARLOS COELHO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453"/>
    <n v="45838"/>
    <n v="3150.3"/>
    <n v="2772.26"/>
    <n v="0"/>
    <n v="378.04"/>
    <n v="0.12"/>
    <n v="3150.3"/>
    <x v="5"/>
    <n v="215"/>
    <s v="BWT"/>
    <x v="3"/>
  </r>
  <r>
    <s v="35260425102812000500570030000002351180821237"/>
    <s v="BWT TRANSPORTE E LOGISTICA S. A - PAULINIA"/>
    <s v="03/04/2026"/>
    <s v="235"/>
    <s v="30229"/>
    <s v="JBU3A17 - JBU3A10 - SED7D20"/>
    <s v="VALDEREZ MAINARD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398"/>
    <n v="45799"/>
    <n v="3149.73"/>
    <n v="2771.76"/>
    <n v="0"/>
    <n v="377.97"/>
    <n v="0.12"/>
    <n v="3149.73"/>
    <x v="5"/>
    <n v="215"/>
    <s v="BWT"/>
    <x v="31"/>
  </r>
  <r>
    <s v="35260425102812000500570030000002361371071876"/>
    <s v="BWT TRANSPORTE E LOGISTICA S. A - PAULINIA"/>
    <s v="03/04/2026"/>
    <s v="236"/>
    <s v="30248"/>
    <s v="JBU5G53 - SEE2J86 - JBU5H02"/>
    <s v="SAMUEL CRUZ TORRES DE BRITO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294"/>
    <n v="46325"/>
    <n v="3150.32"/>
    <n v="2772.28"/>
    <n v="0"/>
    <n v="378.04"/>
    <n v="0.12"/>
    <n v="3150.32"/>
    <x v="5"/>
    <n v="215"/>
    <s v="BWT"/>
    <x v="32"/>
  </r>
  <r>
    <s v="41260425102812000179570030000008031673837131"/>
    <s v="BWT ARAUCARIA - ARAUCARIA"/>
    <s v="03/04/2026"/>
    <s v="803"/>
    <s v="2695 - 2693"/>
    <s v="SED7D07 - RXU1C90 - RXU1D30"/>
    <s v="CLAUDINOR CAMPARIM"/>
    <s v="PARANAGUA"/>
    <s v="PR"/>
    <s v="MUITOS CAPOES"/>
    <s v="RS"/>
    <s v="BOCCHI INDUSTRIA E COMERCIO DE CERE TDA"/>
    <s v="BWI TRADING COMERCIAL IMPORTADORA E RTADORA LTDA"/>
    <s v="CATTALINI TERMINAIS MARITIMOS S/A"/>
    <s v="BOCCHI INDUSTRIA E COMERCIO DE CERE TDA"/>
    <s v="BOCCHI INDUSTRIA E COMERCIO DE CERE TDA"/>
    <s v="METANOL - ONU 1230"/>
    <n v="48477"/>
    <n v="73837"/>
    <n v="10422.56"/>
    <n v="8637.25"/>
    <n v="607.5"/>
    <n v="1177.81"/>
    <n v="0.12"/>
    <n v="9815.06"/>
    <x v="8"/>
    <n v="581"/>
    <s v="SUBCONTRATADO"/>
    <x v="6"/>
  </r>
  <r>
    <s v="41260425102812000179570030000008041262212631"/>
    <s v="BWT ARAUCARIA - ARAUCARIA"/>
    <s v="03/04/2026"/>
    <s v="804"/>
    <s v="1095147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094"/>
    <n v="58294"/>
    <n v="3912.25"/>
    <n v="3912.25"/>
    <n v="0"/>
    <n v="0"/>
    <m/>
    <m/>
    <x v="2"/>
    <n v="153"/>
    <s v="BWT"/>
    <x v="2"/>
  </r>
  <r>
    <s v="41260425102812000179570030000008051069089685"/>
    <s v="BWT ARAUCARIA - ARAUCARIA"/>
    <s v="03/04/2026"/>
    <s v="805"/>
    <s v="1095213"/>
    <s v="BDQ4E39"/>
    <s v="WERNER DUCK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7720"/>
    <n v="73880"/>
    <n v="4373.54"/>
    <n v="4373.54"/>
    <n v="0"/>
    <n v="0"/>
    <m/>
    <m/>
    <x v="2"/>
    <n v="153"/>
    <s v="BWT"/>
    <x v="18"/>
  </r>
  <r>
    <s v="41260425102812000179570030000008061867953597"/>
    <s v="BWT ARAUCARIA - ARAUCARIA"/>
    <s v="03/04/2026"/>
    <s v="806"/>
    <s v="1095255"/>
    <s v="BAH3I06 - BDQ4E23 - BAH3I07"/>
    <s v="DANIEL ANTONIO DOS SANTOS JUNIOR"/>
    <s v="PARANAGUA"/>
    <s v="PR"/>
    <s v="IJUI"/>
    <s v="RS"/>
    <s v="CAMERA AGROALIMENTOS S A"/>
    <s v="CATTALINI TERMINAIS MARITIMOS S/A"/>
    <s v="CATTALINI TERMINAIS MARITIMOS S/A"/>
    <s v="CAMERA AGROALIMENTOS S A"/>
    <s v="CAMERA AGROALIMENTOS S A"/>
    <s v="METANOL - ONU 1230"/>
    <n v="48140"/>
    <n v="73860"/>
    <n v="10783.36"/>
    <n v="9201.86"/>
    <n v="326.7"/>
    <n v="1254.8"/>
    <n v="0.12"/>
    <n v="10456.66"/>
    <x v="1"/>
    <n v="800"/>
    <s v="BWT"/>
    <x v="33"/>
  </r>
  <r>
    <s v="35260425102812000500570030000002371988609570"/>
    <s v="BWT TRANSPORTE E LOGISTICA S. A - PAULINIA"/>
    <s v="04/04/2026"/>
    <s v="237"/>
    <s v="30331"/>
    <s v="BDV9E57 - BDV9E56 - SEE0I05"/>
    <s v="RODRIGO DOS SANTOS ALV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1128"/>
    <n v="44183"/>
    <n v="3150.17"/>
    <n v="2772.15"/>
    <n v="0"/>
    <n v="378.02"/>
    <n v="0.12"/>
    <n v="3150.17"/>
    <x v="5"/>
    <n v="215"/>
    <s v="BWT"/>
    <x v="34"/>
  </r>
  <r>
    <s v="35260425102812000500570030000002381821059531"/>
    <s v="BWT TRANSPORTE E LOGISTICA S. A - PAULINIA"/>
    <s v="04/04/2026"/>
    <s v="238"/>
    <s v="30359"/>
    <s v="JCM1E27 - SFC5F45"/>
    <s v="EMERSON MENON CUNHA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50358"/>
    <n v="36243"/>
    <n v="3150.24"/>
    <n v="2772.21"/>
    <n v="0"/>
    <n v="378.03"/>
    <n v="0.12"/>
    <n v="3150.24"/>
    <x v="5"/>
    <n v="215"/>
    <s v="BWT"/>
    <x v="35"/>
  </r>
  <r>
    <s v="35260425102812000500570030000002391313890608"/>
    <s v="BWT TRANSPORTE E LOGISTICA S. A - PAULINIA"/>
    <s v="04/04/2026"/>
    <s v="239"/>
    <s v="30385"/>
    <s v="JAP8F48 - SFA7F70 - JAP8F56"/>
    <s v="PAULO ROBERTO EVANGELISTA SOAR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239"/>
    <n v="45987"/>
    <n v="3149.74"/>
    <n v="2771.77"/>
    <n v="0"/>
    <n v="377.97"/>
    <n v="0.12"/>
    <n v="3149.74"/>
    <x v="5"/>
    <n v="215"/>
    <s v="BWT"/>
    <x v="36"/>
  </r>
  <r>
    <s v="35260425102812000500570030000002401667023585"/>
    <s v="BWT TRANSPORTE E LOGISTICA S. A - PAULINIA"/>
    <s v="04/04/2026"/>
    <s v="240"/>
    <s v="30391"/>
    <s v="JDJ2B32 - JDJ2B43 - TAW8B84"/>
    <s v="EDENIR MALOSTI PEREIRA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054"/>
    <n v="46156"/>
    <n v="3149.83"/>
    <n v="2771.85"/>
    <n v="0"/>
    <n v="377.98"/>
    <n v="0.12"/>
    <n v="3149.83"/>
    <x v="5"/>
    <n v="215"/>
    <s v="BWT"/>
    <x v="37"/>
  </r>
  <r>
    <s v="35260425102812000500570030000002421806628000"/>
    <s v="BWT TRANSPORTE E LOGISTICA S. A - PAULINIA"/>
    <s v="04/04/2026"/>
    <s v="242"/>
    <s v="30407"/>
    <s v="BDQ4E29 - IZW8A03 - IZW8A02"/>
    <s v="LUIZ CARLOS COELHO"/>
    <s v="SANTOS"/>
    <s v="SP"/>
    <s v="PAULINIA"/>
    <s v="SP"/>
    <s v="IPIRANGA PRODUTOS DE PETROLEO S.A."/>
    <s v="IPIRANGA PRODUTOS DE PETROLEO S.A."/>
    <s v="AGEO NORTE TERMINAIS E ARMAZENS GER A"/>
    <s v="IPIRANGA PRODUTOS DE PETROLEO S/A"/>
    <s v="IPIRANGA PRODUTOS DE PETROLEO S/A"/>
    <s v="Gasolina A"/>
    <n v="58465"/>
    <n v="48450"/>
    <n v="3149.81"/>
    <n v="2771.83"/>
    <n v="0"/>
    <n v="377.98"/>
    <n v="0.12"/>
    <n v="3149.81"/>
    <x v="5"/>
    <n v="215"/>
    <s v="BWT"/>
    <x v="3"/>
  </r>
  <r>
    <s v="35260425102812000500570030000002431445445612"/>
    <s v="BWT TRANSPORTE E LOGISTICA S. A - PAULINIA"/>
    <s v="04/04/2026"/>
    <s v="243"/>
    <s v="30452"/>
    <s v="JBT9E33 - SEE2J92 - JBT9E30"/>
    <s v="SILAS DE LIMA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2936"/>
    <n v="44049"/>
    <n v="3149.66"/>
    <n v="2771.7"/>
    <n v="0"/>
    <n v="377.96"/>
    <n v="0.12"/>
    <n v="3149.66"/>
    <x v="5"/>
    <n v="215"/>
    <s v="BWT"/>
    <x v="11"/>
  </r>
  <r>
    <s v="35260425102812000500570030000002441035880979"/>
    <s v="BWT TRANSPORTE E LOGISTICA S. A - PAULINIA"/>
    <s v="04/04/2026"/>
    <s v="244"/>
    <s v="30467"/>
    <s v="TAW8C01 - RYF3A30 - RYF2J90"/>
    <s v="ROBERTO RIVELINO CABRAL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289"/>
    <n v="45429"/>
    <n v="3150.07"/>
    <n v="2772.06"/>
    <n v="0"/>
    <n v="378.01"/>
    <n v="0.12"/>
    <n v="3150.07"/>
    <x v="5"/>
    <n v="215"/>
    <s v="BWT"/>
    <x v="10"/>
  </r>
  <r>
    <s v="41260425102812000179570030000008071972050922"/>
    <s v="BWT ARAUCARIA - ARAUCARIA"/>
    <s v="04/04/2026"/>
    <s v="807"/>
    <s v="327592"/>
    <s v="BBM6H26 - BBM6H25 - RHH5D97"/>
    <s v="MARIO SERGIO DOS SANTOS ANDREOLA"/>
    <s v="SAO CARLOS DO IVAI"/>
    <s v="PR"/>
    <s v="ARAUCARIA"/>
    <s v="PR"/>
    <s v="IPIRANGA PRODUTOS DE PETROLEO S/A"/>
    <s v="COOPERATIVA AGRICOLA REGIONAL DE PR RES DE CAN"/>
    <s v="COOPERATIVA AGRICOLA REGIONAL DE PR RES DE CAN"/>
    <s v="IPIRANGA PRODUTOS DE PETROLEO S/A"/>
    <s v="IPIRANGA PRODUTOS DE PETROLEO S/A"/>
    <s v="Etanol Anidro"/>
    <n v="59538"/>
    <n v="47000"/>
    <n v="6439.03"/>
    <n v="6439.03"/>
    <n v="0"/>
    <n v="0"/>
    <m/>
    <m/>
    <x v="7"/>
    <n v="491"/>
    <s v="BWT"/>
    <x v="38"/>
  </r>
  <r>
    <s v="41260425102812000179570030000008081268485353"/>
    <s v="BWT ARAUCARIA - ARAUCARIA"/>
    <s v="04/04/2026"/>
    <s v="808"/>
    <s v="327594"/>
    <s v="BBM6H24 - BBM6H15 - BDQ4E18"/>
    <s v="DANIEL EUFRAZIO"/>
    <s v="SAO CARLOS DO IVAI"/>
    <s v="PR"/>
    <s v="ARAUCARIA"/>
    <s v="PR"/>
    <s v="IPIRANGA PRODUTOS DE PETROLEO S/A"/>
    <s v="COOPERATIVA AGRICOLA REGIONAL DE PR RES DE CAN"/>
    <s v="COOPERATIVA AGRICOLA REGIONAL DE PR RES DE CAN"/>
    <s v="IPIRANGA PRODUTOS DE PETROLEO S/A"/>
    <s v="IPIRANGA PRODUTOS DE PETROLEO S/A"/>
    <s v="Etanol Anidro"/>
    <n v="59472"/>
    <n v="46940"/>
    <n v="6431.9"/>
    <n v="6431.9"/>
    <n v="0"/>
    <n v="0"/>
    <m/>
    <m/>
    <x v="7"/>
    <n v="491"/>
    <s v="BWT"/>
    <x v="39"/>
  </r>
  <r>
    <s v="41260425102812000179570030000008091189886905"/>
    <s v="BWT ARAUCARIA - ARAUCARIA"/>
    <s v="04/04/2026"/>
    <s v="809"/>
    <s v="2686 - 2687"/>
    <s v="SEE0I16 - TLA5E54 - TIV7C08"/>
    <s v="LEANDRO OLIVEIRA RODRIGUES"/>
    <s v="PARANAGUA"/>
    <s v="PR"/>
    <s v="MAFRA"/>
    <s v="SC"/>
    <s v="BWI TRADING COMERCIAL IMPORTADORA E RTADORA LTDA"/>
    <s v="BWI TRADING COMERCIAL IMPORTADORA E RTADORA LTDA"/>
    <s v="CPA TERMINAL PARANAGUA S.A"/>
    <s v="SEARA ALIMENTOS LTDA"/>
    <s v="SEARA ALIMENTOS LTDA"/>
    <s v="METILATO DE SODIO 30%"/>
    <n v="45000"/>
    <n v="45000"/>
    <n v="6496.65"/>
    <n v="5108.8"/>
    <n v="691.2"/>
    <n v="696.65"/>
    <n v="0.12"/>
    <n v="5805.45"/>
    <x v="12"/>
    <n v="195"/>
    <s v="BWT"/>
    <x v="40"/>
  </r>
  <r>
    <s v="41260425102812000179570030000008101167672970"/>
    <s v="BWT ARAUCARIA - ARAUCARIA"/>
    <s v="04/04/2026"/>
    <s v="810"/>
    <s v="79325"/>
    <s v="BDQ4E32 - IZW6J87 - IZW6J99"/>
    <s v="OSVALDIR RIBEIRO PINTO"/>
    <s v="PARANAGUA"/>
    <s v="PR"/>
    <s v="SARANDI-PR"/>
    <s v="PR"/>
    <s v="IPIRANGA PRODUTOS DE PETROLEO S.A"/>
    <s v="IPIRANGA PRODUTOS DE PETROLEO S.A"/>
    <s v="CATTALINI TERMINAIS MARITIMOS S/A"/>
    <s v="IPIRANGA PRODUTOS DE PETROLEO S/A"/>
    <s v="IPIRANGA PRODUTOS DE PETROLEO S/A"/>
    <s v="Diesel S500 A"/>
    <n v="58233"/>
    <n v="47850"/>
    <n v="14907.65"/>
    <n v="14907.65"/>
    <n v="0"/>
    <n v="0"/>
    <m/>
    <m/>
    <x v="13"/>
    <n v="518"/>
    <s v="BWT"/>
    <x v="41"/>
  </r>
  <r>
    <s v="41260425102812000179570030000008111444890672"/>
    <s v="BWT ARAUCARIA - ARAUCARIA"/>
    <s v="04/04/2026"/>
    <s v="811"/>
    <s v="79332"/>
    <s v="TAW8B80 - JCV2H32 - JCV8B29"/>
    <s v="LAURO LORETO TEIXEIRA"/>
    <s v="PARANAGUA"/>
    <s v="PR"/>
    <s v="SARANDI-PR"/>
    <s v="PR"/>
    <s v="IPIRANGA PRODUTOS DE PETROLEO S.A"/>
    <s v="IPIRANGA PRODUTOS DE PETROLEO S.A"/>
    <s v="CATTALINI TERMINAIS MARITIMOS S/A"/>
    <s v="IPIRANGA PRODUTOS DE PETROLEO S/A"/>
    <s v="IPIRANGA PRODUTOS DE PETROLEO S/A"/>
    <s v="Diesel S500 A"/>
    <n v="58264"/>
    <n v="47876"/>
    <n v="14915.58"/>
    <n v="14915.58"/>
    <n v="0"/>
    <n v="0"/>
    <m/>
    <m/>
    <x v="13"/>
    <n v="518"/>
    <s v="BWT"/>
    <x v="42"/>
  </r>
  <r>
    <s v="41260425102812000179570030000008121489223176"/>
    <s v="BWT ARAUCARIA - ARAUCARIA"/>
    <s v="04/04/2026"/>
    <s v="812"/>
    <s v="1095499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280"/>
    <n v="58360"/>
    <n v="3931.36"/>
    <n v="3931.36"/>
    <n v="0"/>
    <n v="0"/>
    <m/>
    <m/>
    <x v="2"/>
    <n v="153"/>
    <s v="BWT"/>
    <x v="2"/>
  </r>
  <r>
    <s v="41260425102812000179570030000008131732805730"/>
    <s v="BWT ARAUCARIA - ARAUCARIA"/>
    <s v="04/04/2026"/>
    <s v="813"/>
    <s v="1095513"/>
    <s v="JCI5E48 - AWZ2403"/>
    <s v="JOAO GABRIEL DA CRUZ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9020"/>
    <n v="58340"/>
    <n v="4007.35"/>
    <n v="4007.35"/>
    <n v="0"/>
    <n v="0"/>
    <m/>
    <m/>
    <x v="2"/>
    <n v="153"/>
    <s v="BWT"/>
    <x v="8"/>
  </r>
  <r>
    <s v="42260425102812000330570030000000261154988701"/>
    <s v="BWT TRANSPORTE E LOGISTICA S. A - ITAJAI"/>
    <s v="04/04/2026"/>
    <s v="26"/>
    <s v="411703"/>
    <s v="TAW8B87 - JDJ0B76 - JDJ0B57"/>
    <s v="VITOR RAFAEL PEDROZO"/>
    <s v="JOACABA"/>
    <s v="SC"/>
    <s v="CUBATAO"/>
    <s v="SP"/>
    <s v="VIBRA ENERGIA S.A - FILIAL 100"/>
    <s v="ADM DO BRASIL LTDA"/>
    <s v="ADM DO BRASIL LTDA"/>
    <s v="VIBRA ENERGIA S.A - FILIAL 100"/>
    <s v="VIBRA ENERGIA S.A - FILIAL 100"/>
    <s v="Biodiesel - B100"/>
    <n v="59591"/>
    <n v="52360"/>
    <n v="20992.28"/>
    <n v="18473.21"/>
    <n v="0"/>
    <n v="2519.0700000000002"/>
    <n v="0.12"/>
    <n v="20992.28"/>
    <x v="14"/>
    <n v="782"/>
    <s v="BWT"/>
    <x v="43"/>
  </r>
  <r>
    <s v="42260425102812000330570030000000271528564597"/>
    <s v="BWT TRANSPORTE E LOGISTICA S. A - ITAJAI"/>
    <s v="04/04/2026"/>
    <s v="27"/>
    <s v="411706"/>
    <s v="BDV9E54 - BDV9E55 - SEY8B40"/>
    <s v="ALEX DE OLIVEIRA RODRIGUES"/>
    <s v="JOACABA"/>
    <s v="SC"/>
    <s v="CUBATAO"/>
    <s v="SP"/>
    <s v="VIBRA ENERGIA S.A - FILIAL 100"/>
    <s v="ADM DO BRASIL LTDA"/>
    <s v="ADM DO BRASIL LTDA"/>
    <s v="VIBRA ENERGIA S.A - FILIAL 100"/>
    <s v="VIBRA ENERGIA S.A - FILIAL 100"/>
    <s v="Biodiesel - B100"/>
    <n v="56655"/>
    <n v="49760"/>
    <n v="19961.53"/>
    <n v="17566.150000000001"/>
    <n v="0"/>
    <n v="2395.38"/>
    <n v="0.12"/>
    <n v="19961.53"/>
    <x v="14"/>
    <n v="782"/>
    <s v="BWT"/>
    <x v="44"/>
  </r>
  <r>
    <s v="43260425102812000250570030000002521276221461"/>
    <s v="BWT TRANSPORTE E LOGISTICA S. A - ESTEIO"/>
    <s v="04/04/2026"/>
    <s v="252"/>
    <s v="230480"/>
    <s v="BDU5F20 - BDU5F25 - SEY8B43"/>
    <s v="JOAQUIM RAIMUNDO PORTES JUNIOR"/>
    <s v="IJUI"/>
    <s v="RS"/>
    <s v="PAULINIA"/>
    <s v="SP"/>
    <s v="ROYAL FIC DISTRIBUIDORA DE DERIVADO PETROLEO S"/>
    <s v="CAMERA AGROALIMENTOS S A"/>
    <s v="CAMERA AGROALIMENTOS S A"/>
    <s v="ROYAL FIC DISTRIBUIDORA DE DERIVADO PETROLEO S"/>
    <s v="ROYAL FIC DISTRIBUIDORA DE DERIVADO PETROLEO S"/>
    <s v="Biodiesel - B100"/>
    <n v="56356"/>
    <n v="75380"/>
    <n v="15779.68"/>
    <n v="12815.75"/>
    <n v="1070.3699999999999"/>
    <n v="1893.56"/>
    <n v="0.12"/>
    <n v="15779.68"/>
    <x v="15"/>
    <n v="1212"/>
    <s v="BWT"/>
    <x v="1"/>
  </r>
  <r>
    <s v="43260425102812000250570030000002531152702406"/>
    <s v="BWT TRANSPORTE E LOGISTICA S. A - ESTEIO"/>
    <s v="04/04/2026"/>
    <s v="253"/>
    <s v="230482"/>
    <s v="SEE2J87 - RYD5E09 - RYD5D89"/>
    <s v="LUIZ CEZAR KELCZESKI"/>
    <s v="IJUI"/>
    <s v="RS"/>
    <s v="PAULINIA"/>
    <s v="SP"/>
    <s v="ROYAL FIC DISTRIBUIDORA DE DERIVADO PETROLEO S"/>
    <s v="CAMERA AGROALIMENTOS S A"/>
    <s v="CAMERA AGROALIMENTOS S A"/>
    <s v="ROYAL FIC DISTRIBUIDORA DE DERIVADO PETROLEO S"/>
    <s v="ROYAL FIC DISTRIBUIDORA DE DERIVADO PETROLEO S"/>
    <s v="Biodiesel - B100"/>
    <n v="57345"/>
    <n v="75700"/>
    <n v="16056.6"/>
    <n v="13059.44"/>
    <n v="1070.3699999999999"/>
    <n v="1926.79"/>
    <n v="0.12"/>
    <n v="16056.6"/>
    <x v="15"/>
    <n v="1212"/>
    <s v="BWT"/>
    <x v="45"/>
  </r>
  <r>
    <s v="35260425102812000500570030000002451028456773"/>
    <s v="BWT TRANSPORTE E LOGISTICA S. A - PAULINIA"/>
    <s v="05/04/2026"/>
    <s v="245"/>
    <s v="30482"/>
    <s v="JCI7B71 - BAX9A94"/>
    <s v="FRANCISCO ADEMIR MORO JUNIOR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Diesel S10 A"/>
    <n v="45692"/>
    <n v="37920"/>
    <n v="2359.89"/>
    <n v="2076.6999999999998"/>
    <n v="0"/>
    <n v="283.19"/>
    <n v="0.12"/>
    <n v="2359.89"/>
    <x v="5"/>
    <n v="215"/>
    <s v="BWT"/>
    <x v="17"/>
  </r>
  <r>
    <s v="35260425102812000500570030000002471331650810"/>
    <s v="BWT TRANSPORTE E LOGISTICA S. A - PAULINIA"/>
    <s v="05/04/2026"/>
    <s v="247"/>
    <s v="30487"/>
    <s v="JAV7E00 - SEX2C75 - JAV7E07"/>
    <s v="FRANCISCO JOSE ESTEV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Diesel S10 A"/>
    <n v="59561"/>
    <n v="49114"/>
    <n v="3149.97"/>
    <n v="2771.97"/>
    <n v="0"/>
    <n v="378"/>
    <n v="0.12"/>
    <n v="3149.97"/>
    <x v="5"/>
    <n v="215"/>
    <s v="BWT"/>
    <x v="29"/>
  </r>
  <r>
    <s v="35260425102812000500570030000002481245383695"/>
    <s v="BWT TRANSPORTE E LOGISTICA S. A - PAULINIA"/>
    <s v="05/04/2026"/>
    <s v="248"/>
    <s v="30503"/>
    <s v="JBU3A17 - JBU3A10 - SED7D20"/>
    <s v="VALDEREZ MAINARD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Diesel S10 A"/>
    <n v="59863"/>
    <n v="49680"/>
    <n v="3150.3"/>
    <n v="2772.26"/>
    <n v="0"/>
    <n v="378.04"/>
    <n v="0.12"/>
    <n v="3150.3"/>
    <x v="5"/>
    <n v="215"/>
    <s v="BWT"/>
    <x v="31"/>
  </r>
  <r>
    <s v="35260425102812000500570030000002491346437631"/>
    <s v="BWT TRANSPORTE E LOGISTICA S. A - PAULINIA"/>
    <s v="05/04/2026"/>
    <s v="249"/>
    <s v="30504"/>
    <s v="JCW7D75 - JCX7F40 - TAW8C09"/>
    <s v="CLAIR SONAI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Diesel S10 A"/>
    <n v="59755"/>
    <n v="49644"/>
    <n v="3150.03"/>
    <n v="2772.03"/>
    <n v="0"/>
    <n v="378"/>
    <n v="0.12"/>
    <n v="3150.03"/>
    <x v="5"/>
    <n v="215"/>
    <s v="BWT"/>
    <x v="12"/>
  </r>
  <r>
    <s v="35260425102812000500570030000002501849438230"/>
    <s v="BWT TRANSPORTE E LOGISTICA S. A - PAULINIA"/>
    <s v="05/04/2026"/>
    <s v="250"/>
    <s v="30509"/>
    <s v="SEE2J90 - RYG6E01 - RYG6D61"/>
    <s v="VILSO DE OLIVEIRA COSTA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Diesel S10 A"/>
    <n v="59652"/>
    <n v="49380"/>
    <n v="3150.03"/>
    <n v="2772.03"/>
    <n v="0"/>
    <n v="378"/>
    <n v="0.12"/>
    <n v="3150.03"/>
    <x v="5"/>
    <n v="215"/>
    <s v="BWT"/>
    <x v="30"/>
  </r>
  <r>
    <s v="35260425102812000500570030000002511211851020"/>
    <s v="BWT TRANSPORTE E LOGISTICA S. A - PAULINIA"/>
    <s v="05/04/2026"/>
    <s v="251"/>
    <s v="30510"/>
    <s v="JBT6B33 - BDQ4E30"/>
    <s v="NEY CESAR WANDERLINDE LEINEKER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49511"/>
    <n v="35712"/>
    <n v="2360.2199999999998"/>
    <n v="2076.9899999999998"/>
    <n v="0"/>
    <n v="283.23"/>
    <n v="0.12"/>
    <n v="2360.2199999999998"/>
    <x v="5"/>
    <n v="215"/>
    <s v="BWT"/>
    <x v="15"/>
  </r>
  <r>
    <s v="35260425102812000500570030000002521933463180"/>
    <s v="BWT TRANSPORTE E LOGISTICA S. A - PAULINIA"/>
    <s v="05/04/2026"/>
    <s v="252"/>
    <s v="30517"/>
    <s v="BBM5I45 - BBQ6I95"/>
    <s v="VLADEMIR JORGE SANTO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44472"/>
    <n v="32078"/>
    <n v="2360.0500000000002"/>
    <n v="2076.84"/>
    <n v="0"/>
    <n v="283.20999999999998"/>
    <n v="0.12"/>
    <n v="2360.0500000000002"/>
    <x v="5"/>
    <n v="215"/>
    <s v="BWT"/>
    <x v="16"/>
  </r>
  <r>
    <s v="35260425102812000500570030000002531781474297"/>
    <s v="BWT TRANSPORTE E LOGISTICA S. A - PAULINIA"/>
    <s v="05/04/2026"/>
    <s v="253"/>
    <s v="30516"/>
    <s v="AYP3139 - SEX2C73 - AYP3138"/>
    <s v="MARIOVANY QUIRINO GOM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013"/>
    <n v="45445"/>
    <n v="3149.93"/>
    <n v="2771.94"/>
    <n v="0"/>
    <n v="377.99"/>
    <n v="0.12"/>
    <n v="3149.93"/>
    <x v="5"/>
    <n v="215"/>
    <s v="BWT"/>
    <x v="13"/>
  </r>
  <r>
    <s v="35260425102812000500570030000002541774528546"/>
    <s v="BWT TRANSPORTE E LOGISTICA S. A - PAULINIA"/>
    <s v="05/04/2026"/>
    <s v="254"/>
    <s v="30524"/>
    <s v="SEE0I13 - RYG6E81 - RYG6F31"/>
    <s v="ALAOR BATISTA DE FREITA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123"/>
    <n v="45417"/>
    <n v="3149.69"/>
    <n v="2771.73"/>
    <n v="0"/>
    <n v="377.96"/>
    <n v="0.12"/>
    <n v="3149.69"/>
    <x v="5"/>
    <n v="215"/>
    <s v="BWT"/>
    <x v="14"/>
  </r>
  <r>
    <s v="41260425102812000179570030000008141354487846"/>
    <s v="BWT ARAUCARIA - ARAUCARIA"/>
    <s v="05/04/2026"/>
    <s v="814"/>
    <s v="79373"/>
    <s v="SEE3G48 - JBT6B10 - JBT6B27"/>
    <s v="RAFAEL SOUZA MIRANDA"/>
    <s v="PARANAGUA"/>
    <s v="PR"/>
    <s v="LONDRINA"/>
    <s v="PR"/>
    <s v="IPIRANGA PRODUTOS DE PETROLEO S.A"/>
    <s v="IPIRANGA PRODUTOS DE PETROLEO S.A"/>
    <s v="CATTALINI TERMINAIS MARITIMOS S/A"/>
    <s v="IPIRANGA PRODUTOS DE PETROLEO S.A."/>
    <s v="IPIRANGA PRODUTOS DE PETROLEO S.A."/>
    <s v="Diesel S10 A"/>
    <n v="58039"/>
    <n v="47795"/>
    <n v="14857.98"/>
    <n v="14857.98"/>
    <n v="0"/>
    <n v="0"/>
    <m/>
    <m/>
    <x v="16"/>
    <n v="485"/>
    <s v="BWT"/>
    <x v="9"/>
  </r>
  <r>
    <s v="41260425102812000179570030000008201797129415"/>
    <s v="BWT ARAUCARIA - ARAUCARIA"/>
    <s v="06/04/2026"/>
    <s v="820"/>
    <s v="2665"/>
    <s v="SFF3I82 - JCO4B49 - JCO4B32"/>
    <s v="ANDRIELIA APARECIDA GOMES"/>
    <s v="PARANAGUA"/>
    <s v="PR"/>
    <s v="MUITOS CAPOES"/>
    <s v="RS"/>
    <s v="BOCCHI INDUSTRIA E COMERCIO DE CERE TDA"/>
    <s v="BWI TRADING COMERCIAL IMPORTADORA E RTADORA LTDA"/>
    <s v="CATTALINI TERMINAIS MARITIMOS S/A"/>
    <s v="BOCCHI INDUSTRIA E COMERCIO DE CERE TDA"/>
    <s v="BOCCHI INDUSTRIA E COMERCIO DE CERE TDA"/>
    <s v="METANOL - ONU 1230"/>
    <n v="47780"/>
    <n v="73840"/>
    <n v="10272.700000000001"/>
    <n v="8232.14"/>
    <n v="918"/>
    <n v="1122.56"/>
    <n v="0.12"/>
    <n v="9354.7000000000007"/>
    <x v="8"/>
    <n v="581"/>
    <s v="BWT"/>
    <x v="27"/>
  </r>
  <r>
    <s v="41260425102812000179570030000008221761121230"/>
    <s v="BWT ARAUCARIA - ARAUCARIA"/>
    <s v="06/04/2026"/>
    <s v="822"/>
    <s v="2691"/>
    <s v="SFF3I76 - JCP3I14 - JCP5G54"/>
    <s v="JOSIANE DE FREITAS CABRAL"/>
    <s v="PARANAGUA"/>
    <s v="PR"/>
    <s v="MUITOS CAPOES"/>
    <s v="RS"/>
    <s v="BOCCHI INDUSTRIA E COMERCIO DE CERE TDA"/>
    <s v="BWI TRADING COMERCIAL IMPORTADORA E RTADORA LTDA"/>
    <s v="CATTALINI TERMINAIS MARITIMOS S/A"/>
    <s v="BOCCHI INDUSTRIA E COMERCIO DE CERE TDA"/>
    <s v="BOCCHI INDUSTRIA E COMERCIO DE CERE TDA"/>
    <s v="METANOL - ONU 1230"/>
    <n v="47922"/>
    <n v="73842"/>
    <n v="10303.23"/>
    <n v="8532.24"/>
    <n v="607.5"/>
    <n v="1163.49"/>
    <n v="0.12"/>
    <n v="9695.73"/>
    <x v="8"/>
    <n v="581"/>
    <s v="SUBCONTRATADO"/>
    <x v="6"/>
  </r>
  <r>
    <s v="35260425102812000500570030000002551664915020"/>
    <s v="BWT TRANSPORTE E LOGISTICA S. A - PAULINIA"/>
    <s v="06/04/2026"/>
    <s v="255"/>
    <s v="30550"/>
    <s v="JCM1E27 - SFC5F45"/>
    <s v="EMERSON MENON CUNHA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50365"/>
    <n v="36303"/>
    <n v="3150.1"/>
    <n v="2772.09"/>
    <n v="0"/>
    <n v="378.01"/>
    <n v="0.12"/>
    <n v="3150.1"/>
    <x v="5"/>
    <n v="215"/>
    <s v="BWT"/>
    <x v="35"/>
  </r>
  <r>
    <s v="35260425102812000500570030000002561706558880"/>
    <s v="BWT TRANSPORTE E LOGISTICA S. A - PAULINIA"/>
    <s v="06/04/2026"/>
    <s v="256"/>
    <s v="116975"/>
    <s v="JBW0G71 - SEE0H97 - JBW0G65"/>
    <s v="JOSE CLAUDIO DA CRUZ"/>
    <s v="IACANGA"/>
    <s v="SP"/>
    <s v="ARAUCARIA"/>
    <s v="PR"/>
    <s v="IPIRANGA PRODUTOS DE PETROLEO S/A"/>
    <s v="Cooperativa Prod de Cana-de-AA A ca A A car e"/>
    <s v="Cooperativa Prod de Cana-de-AA A ca A A car e"/>
    <s v="IPIRANGA PRODUTOS DE PETROLEO S/A"/>
    <s v="IPIRANGA PRODUTOS DE PETROLEO S/A"/>
    <s v="Etanol Anidro"/>
    <n v="59250"/>
    <s v="46.91"/>
    <n v="8338.09"/>
    <n v="7337.52"/>
    <n v="0"/>
    <n v="1000.57"/>
    <n v="0.12"/>
    <n v="8338.09"/>
    <x v="17"/>
    <n v="580"/>
    <s v="BWT"/>
    <x v="46"/>
  </r>
  <r>
    <s v="35260425102812000500570030000002571012757966"/>
    <s v="BWT TRANSPORTE E LOGISTICA S. A - PAULINIA"/>
    <s v="06/04/2026"/>
    <s v="257"/>
    <s v="30585"/>
    <s v="JDJ2B32 - JDJ2B43 - TAW8B84"/>
    <s v="EDENIR MALOSTI PEREIRA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3291"/>
    <n v="44297"/>
    <n v="3150.17"/>
    <n v="2772.15"/>
    <n v="0"/>
    <n v="378.02"/>
    <n v="0.12"/>
    <n v="3150.17"/>
    <x v="5"/>
    <n v="215"/>
    <s v="BWT"/>
    <x v="37"/>
  </r>
  <r>
    <s v="35260425102812000500570030000002581469490165"/>
    <s v="BWT TRANSPORTE E LOGISTICA S. A - PAULINIA"/>
    <s v="06/04/2026"/>
    <s v="258"/>
    <s v="30615"/>
    <s v="JAP8F48 - SFA7F70 - JAP8F56"/>
    <s v="PAULO ROBERTO EVANGELISTA SOAR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Gasolina A"/>
    <n v="61077"/>
    <n v="44024"/>
    <n v="3150.33"/>
    <n v="2772.29"/>
    <n v="0"/>
    <n v="378.04"/>
    <n v="0.12"/>
    <n v="3150.33"/>
    <x v="5"/>
    <n v="215"/>
    <s v="BWT"/>
    <x v="36"/>
  </r>
  <r>
    <s v="41260425102812000179570030000008151468961277"/>
    <s v="BWT ARAUCARIA - ARAUCARIA"/>
    <s v="06/04/2026"/>
    <s v="815"/>
    <s v="2703"/>
    <s v="BBQ6I94 - BBM8G62"/>
    <s v="LUIZ GERVASIO STROPARO"/>
    <s v="PARANAGUA"/>
    <s v="PR"/>
    <s v="ORTIGUEIRA"/>
    <s v="PR"/>
    <s v="BWI TRADING COMERCIAL IMPORTADORA E RTADORA LTDA"/>
    <s v="BWI TRADING COMERCIAL IMPORTADORA E RTADORA LTDA"/>
    <s v="CATTALINI TERMINAIS MARITIMOS S/A"/>
    <s v="KLABIN S.A."/>
    <s v="KLABIN S.A."/>
    <s v="METANOL - ONU 1230"/>
    <n v="34696"/>
    <n v="54456"/>
    <n v="9142.0499999999993"/>
    <n v="8757.4500000000007"/>
    <n v="384.6"/>
    <n v="0"/>
    <m/>
    <m/>
    <x v="18"/>
    <n v="354"/>
    <s v="BWT"/>
    <x v="7"/>
  </r>
  <r>
    <s v="41260425102812000179570030000008161357257641"/>
    <s v="BWT ARAUCARIA - ARAUCARIA"/>
    <s v="06/04/2026"/>
    <s v="816"/>
    <s v="1095915"/>
    <s v="BBM5I48"/>
    <s v="FERNANDO JOSE CARVALH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400"/>
    <n v="58260"/>
    <n v="3943.68"/>
    <n v="3943.68"/>
    <n v="0"/>
    <n v="0"/>
    <m/>
    <m/>
    <x v="2"/>
    <n v="153"/>
    <s v="BWT"/>
    <x v="19"/>
  </r>
  <r>
    <s v="41260425102812000179570030000008171300775306"/>
    <s v="BWT ARAUCARIA - ARAUCARIA"/>
    <s v="06/04/2026"/>
    <s v="817"/>
    <s v="278422"/>
    <s v="RYG6B41 - RYG6D01 - SED7D05"/>
    <s v="JOEL RODYCZ"/>
    <s v="PARANACITY"/>
    <s v="PR"/>
    <s v="ITAJAI"/>
    <s v="SC"/>
    <s v="IPIRANGA PRODUTOS DE PETROLEO S.A"/>
    <s v="USINA DE ACUCAR SANTA TEREZINHA LTD"/>
    <s v="USINA DE ACUCAR SANTA TEREZINHA LTD"/>
    <s v="IPIRANGA PRODUTOS DE PETROLEO S.A"/>
    <s v="IPIRANGA PRODUTOS DE PETROLEO S.A"/>
    <s v="Etanol Hidratado"/>
    <n v="58168"/>
    <n v="47180"/>
    <n v="10246.16"/>
    <n v="9016.6200000000008"/>
    <n v="0"/>
    <n v="1229.54"/>
    <n v="0.12"/>
    <n v="10246.16"/>
    <x v="19"/>
    <n v="716"/>
    <s v="SUBCONTRATADO"/>
    <x v="6"/>
  </r>
  <r>
    <s v="41260425102812000179570030000008181206542554"/>
    <s v="BWT ARAUCARIA - ARAUCARIA"/>
    <s v="06/04/2026"/>
    <s v="818"/>
    <s v="1095999"/>
    <s v="SEE0I38 - JBW6D87 - JBW6D88"/>
    <s v="FELIPE NUNES"/>
    <s v="PARANAGUA"/>
    <s v="PR"/>
    <s v="IJUI"/>
    <s v="RS"/>
    <s v="CAMERA AGROALIMENTOS S A"/>
    <s v="CATTALINI TERMINAIS MARITIMOS S/A"/>
    <s v="CATTALINI TERMINAIS MARITIMOS S/A"/>
    <s v="CAMERA AGROALIMENTOS S A"/>
    <s v="CAMERA AGROALIMENTOS S A"/>
    <s v="METANOL - ONU 1230"/>
    <n v="48060"/>
    <n v="73860"/>
    <n v="10765.44"/>
    <n v="8900.9699999999993"/>
    <n v="650.70000000000005"/>
    <n v="1213.77"/>
    <n v="0.12"/>
    <n v="10114.74"/>
    <x v="1"/>
    <n v="800"/>
    <s v="BWT"/>
    <x v="0"/>
  </r>
  <r>
    <s v="41260425102812000179570030000008191156750105"/>
    <s v="BWT ARAUCARIA - ARAUCARIA"/>
    <s v="06/04/2026"/>
    <s v="819"/>
    <s v="2709 - 2710"/>
    <s v="JAO3A97 - SFC5F71 - JAO3A88"/>
    <s v="RENATO GASPARELLO"/>
    <s v="PARANAGUA"/>
    <s v="PR"/>
    <s v="MUITOS CAPOES"/>
    <s v="RS"/>
    <s v="BOCCHI INDUSTRIA E COMERCIO DE CERE TDA"/>
    <s v="BWI TRADING COMERCIAL IMPORTADORA E RTADORA LTDA"/>
    <s v="CATTALINI TERMINAIS MARITIMOS S/A"/>
    <s v="BOCCHI INDUSTRIA E COMERCIO DE CERE TDA"/>
    <s v="BOCCHI INDUSTRIA E COMERCIO DE CERE TDA"/>
    <s v="METANOL - ONU 1230"/>
    <n v="48220"/>
    <n v="73820"/>
    <n v="10367.299999999999"/>
    <n v="8588.6200000000008"/>
    <n v="607.5"/>
    <n v="1171.18"/>
    <n v="0.12"/>
    <n v="9759.7999999999993"/>
    <x v="8"/>
    <n v="581"/>
    <s v="BWT"/>
    <x v="21"/>
  </r>
  <r>
    <s v="41260425102812000179570030000008211667124100"/>
    <s v="BWT ARAUCARIA - ARAUCARIA"/>
    <s v="06/04/2026"/>
    <s v="821"/>
    <s v="1096020"/>
    <s v="BDQ4E39"/>
    <s v="WERNER DUCK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7772"/>
    <n v="73792"/>
    <n v="4378.3"/>
    <n v="4378.3"/>
    <n v="0"/>
    <n v="0"/>
    <m/>
    <m/>
    <x v="2"/>
    <n v="153"/>
    <s v="BWT"/>
    <x v="18"/>
  </r>
  <r>
    <s v="41260425102812000179570030000008231496480670"/>
    <s v="BWT ARAUCARIA - ARAUCARIA"/>
    <s v="06/04/2026"/>
    <s v="823"/>
    <s v="1096031"/>
    <s v="JCW7C11 - JCW7D87 - TAW2A61"/>
    <s v="ALCIONE DE CASTRO"/>
    <s v="PARANAGUA"/>
    <s v="PR"/>
    <s v="IJUI"/>
    <s v="RS"/>
    <s v="CAMERA AGROALIMENTOS S A"/>
    <s v="CATTALINI TERMINAIS MARITIMOS S/A"/>
    <s v="CATTALINI TERMINAIS MARITIMOS S/A"/>
    <s v="CAMERA AGROALIMENTOS S A"/>
    <s v="CAMERA AGROALIMENTOS S A"/>
    <s v="METANOL - ONU 1230"/>
    <n v="48409"/>
    <n v="73889"/>
    <n v="10843.62"/>
    <n v="8969.77"/>
    <n v="650.70000000000005"/>
    <n v="1223.1500000000001"/>
    <n v="0.12"/>
    <n v="10192.92"/>
    <x v="1"/>
    <n v="800"/>
    <s v="BWT"/>
    <x v="20"/>
  </r>
  <r>
    <s v="41260425102812000179570030000008241197313761"/>
    <s v="BWT ARAUCARIA - ARAUCARIA"/>
    <s v="06/04/2026"/>
    <s v="824"/>
    <s v="1096032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384"/>
    <n v="58344"/>
    <n v="3942.04"/>
    <n v="3942.04"/>
    <n v="0"/>
    <n v="0"/>
    <m/>
    <m/>
    <x v="2"/>
    <n v="153"/>
    <s v="BWT"/>
    <x v="2"/>
  </r>
  <r>
    <s v="41260425102812000179570030000008251720508604"/>
    <s v="BWT ARAUCARIA - ARAUCARIA"/>
    <s v="06/04/2026"/>
    <s v="825"/>
    <s v="1096037"/>
    <s v="JCI5E48 - AWZ2403"/>
    <s v="JOAO GABRIEL DA CRUZ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9084"/>
    <n v="58284"/>
    <n v="4013.93"/>
    <n v="4013.93"/>
    <n v="0"/>
    <n v="0"/>
    <m/>
    <m/>
    <x v="2"/>
    <n v="153"/>
    <s v="BWT"/>
    <x v="8"/>
  </r>
  <r>
    <s v="41260425102812000179570030000008261880798667"/>
    <s v="BWT ARAUCARIA - ARAUCARIA"/>
    <s v="06/04/2026"/>
    <s v="826"/>
    <s v="79450"/>
    <s v="JAS4J43 - JAS4J59 - RHI3D46"/>
    <s v="ELENILDO GOMES DA SILVA"/>
    <s v="PARANAGUA"/>
    <s v="PR"/>
    <s v="PASSO FUNDO"/>
    <s v="RS"/>
    <s v="IPIRANGA PRODUTOS DE PETROLEO S.A"/>
    <s v="IPIRANGA PRODUTOS DE PETROLEO S.A"/>
    <s v="CATTALINI TERMINAIS MARITIMOS S/A"/>
    <s v="IPIRANGA PRODUTOS DE PETROLEO S.A."/>
    <s v="IPIRANGA PRODUTOS DE PETROLEO S.A."/>
    <s v="Diesel S10 A"/>
    <n v="58563"/>
    <n v="48262"/>
    <n v="12298.23"/>
    <n v="12298.23"/>
    <n v="0"/>
    <n v="0"/>
    <m/>
    <m/>
    <x v="20"/>
    <n v="636"/>
    <s v="BWT"/>
    <x v="28"/>
  </r>
  <r>
    <s v="35260325102812000500570030000001631023134220"/>
    <s v="BWT TRANSPORTE E LOGISTICA S. A - PAULINIA"/>
    <s v="07/04/2026"/>
    <s v="259"/>
    <m/>
    <s v="SEE2J87 - RYD5E09 - RYD5D89"/>
    <s v="LUIZ CEZAR KELCZESKI"/>
    <m/>
    <s v="SP"/>
    <m/>
    <s v="RS"/>
    <s v="IPIRANGA PRODUTOS DE PETROLEO S/A"/>
    <s v="Cooperativa Prod de Cana-de-AA A ca A A car e"/>
    <s v="Cooperativa Prod de Cana-de-AA A ca A A car e"/>
    <s v="IPIRANGA PRODUTOS DE PETROLEO S/A"/>
    <s v="IPIRANGA PRODUTOS DE PETROLEO S/A"/>
    <m/>
    <m/>
    <m/>
    <n v="163.87"/>
    <n v="163.87"/>
    <n v="0"/>
    <n v="0"/>
    <n v="0.12"/>
    <n v="163.87"/>
    <x v="21"/>
    <s v="0"/>
    <s v="BWT"/>
    <x v="45"/>
  </r>
  <r>
    <s v="35260325102812000500570030000001651564818518"/>
    <s v="BWT TRANSPORTE E LOGISTICA S. A - PAULINIA"/>
    <s v="07/04/2026"/>
    <s v="261"/>
    <m/>
    <s v="BDU5F24 - BDU5F23 - SER6B09"/>
    <s v="RICARDO FERREIRA DOS SANTOS"/>
    <m/>
    <s v="SP"/>
    <m/>
    <s v="RS"/>
    <s v="IPIRANGA PRODUTOS DE PETROLEO S/A"/>
    <s v="Cooperativa Prod de Cana-de-AA A ca A A car e"/>
    <s v="Cooperativa Prod de Cana-de-AA A ca A A car e"/>
    <s v="IPIRANGA PRODUTOS DE PETROLEO S/A"/>
    <s v="IPIRANGA PRODUTOS DE PETROLEO S/A"/>
    <m/>
    <m/>
    <m/>
    <n v="194.01"/>
    <n v="194.01"/>
    <n v="0"/>
    <n v="0"/>
    <n v="0.12"/>
    <n v="194.01"/>
    <x v="21"/>
    <s v="0"/>
    <s v="BWT"/>
    <x v="47"/>
  </r>
  <r>
    <s v="35260325102812000500570030000001851149565162"/>
    <s v="BWT TRANSPORTE E LOGISTICA S. A - PAULINIA"/>
    <s v="07/04/2026"/>
    <s v="263"/>
    <m/>
    <s v="BBD0E82 - BBD0E81 - RHH5C95"/>
    <s v="REINALDO FERNEDA"/>
    <m/>
    <s v="SP"/>
    <m/>
    <s v="RS"/>
    <s v="IPIRANGA PRODUTOS DE PETROLEO S/A"/>
    <s v="COOPERATIVA DE PRODUTORES DE CANA-D ACUCAR, ACUCAR E ALCOOL"/>
    <s v="COOPERATIVA DE PRODUTORES DE CANA-D ACUCAR, ACUCAR E ALCOOL"/>
    <s v="IPIRANGA PRODUTOS DE PETROLEO S/A"/>
    <s v="IPIRANGA PRODUTOS DE PETROLEO S/A"/>
    <m/>
    <m/>
    <m/>
    <n v="172.54"/>
    <n v="172.54"/>
    <n v="0"/>
    <n v="0"/>
    <n v="0.12"/>
    <n v="172.54"/>
    <x v="21"/>
    <s v="0"/>
    <s v="BWT"/>
    <x v="48"/>
  </r>
  <r>
    <s v="35260325102812000500570030000001911495688835"/>
    <s v="BWT TRANSPORTE E LOGISTICA S. A - PAULINIA"/>
    <s v="07/04/2026"/>
    <s v="262"/>
    <m/>
    <s v="AYP3139 - SEX2C73 - AYP3138"/>
    <s v="MARIOVANY QUIRINO GOMES"/>
    <m/>
    <s v="SP"/>
    <m/>
    <s v="RS"/>
    <s v="IPIRANGA PRODUTOS DE PETROLEO S/A"/>
    <s v="Cooperativa Prod de Cana-de-AA A ca A A car e"/>
    <s v="Cooperativa Prod de Cana-de-AA A ca A A car e"/>
    <s v="IPIRANGA PRODUTOS DE PETROLEO S/A"/>
    <s v="IPIRANGA PRODUTOS DE PETROLEO S/A"/>
    <m/>
    <m/>
    <m/>
    <n v="226.03"/>
    <n v="226.03"/>
    <n v="0"/>
    <n v="0"/>
    <n v="0.12"/>
    <n v="226.03"/>
    <x v="21"/>
    <s v="0"/>
    <s v="BWT"/>
    <x v="13"/>
  </r>
  <r>
    <s v="35260425102812000500570030000002641315020603"/>
    <s v="BWT TRANSPORTE E LOGISTICA S. A - PAULINIA"/>
    <s v="07/04/2026"/>
    <s v="264"/>
    <s v="30683"/>
    <s v="BDQ4E29 - IZW8A03 - IZW8A02"/>
    <s v="LUIZ CARLOS COELHO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3212"/>
    <n v="45500"/>
    <n v="3149.83"/>
    <n v="2771.85"/>
    <n v="0"/>
    <n v="377.98"/>
    <n v="0.12"/>
    <n v="3149.83"/>
    <x v="5"/>
    <n v="215"/>
    <s v="BWT"/>
    <x v="3"/>
  </r>
  <r>
    <s v="35260425102812000500570030000002651188808972"/>
    <s v="BWT TRANSPORTE E LOGISTICA S. A - PAULINIA"/>
    <s v="07/04/2026"/>
    <s v="265"/>
    <s v="774291"/>
    <s v="BBM8G18 - RHH5C92 - BBM8G17"/>
    <s v="CLAUDEMIR SOARES"/>
    <s v="SANTOS"/>
    <s v="SP"/>
    <s v="CIANORTE"/>
    <s v="PR"/>
    <s v="CIAPETRO DISTRIBUIDORA DE COMBUSTIV TDA"/>
    <s v="CIAPETRO DISTRIBUIDORA DE COMBUSTIV TDA"/>
    <s v="Stolthaven Santos Ltda."/>
    <s v="CIAPETRO DISTRIBUIDORA DE COMBUSTIV TDA"/>
    <s v="CIAPETRO DISTRIBUIDORA DE COMBUSTIV TDA"/>
    <s v="Gasolina A"/>
    <n v="60715"/>
    <s v="42719.07"/>
    <n v="8500.1"/>
    <n v="7480.09"/>
    <n v="0"/>
    <n v="1020.01"/>
    <n v="0.12"/>
    <n v="8500.1"/>
    <x v="22"/>
    <n v="794"/>
    <s v="BWT"/>
    <x v="49"/>
  </r>
  <r>
    <s v="35260425102812000500570030000002661046824649"/>
    <s v="BWT TRANSPORTE E LOGISTICA S. A - PAULINIA"/>
    <s v="07/04/2026"/>
    <s v="266"/>
    <s v="30697"/>
    <s v="JBU5G53 - SEE2J86 - JBU5H02"/>
    <s v="LUIZ CARLOS COELHO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1241"/>
    <n v="44118"/>
    <n v="3149.74"/>
    <n v="2771.77"/>
    <n v="0"/>
    <n v="377.97"/>
    <n v="0.12"/>
    <n v="3149.74"/>
    <x v="5"/>
    <n v="215"/>
    <s v="BWT"/>
    <x v="32"/>
  </r>
  <r>
    <s v="35260425102812000500570030000002671174983208"/>
    <s v="BWT TRANSPORTE E LOGISTICA S. A - PAULINIA"/>
    <s v="07/04/2026"/>
    <s v="267"/>
    <s v="30708"/>
    <s v="JAV7E00 - SEX2C75 - JAV7E07"/>
    <s v="FRANCISCO JOSE ESTEVES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3309"/>
    <n v="45570"/>
    <n v="3150.34"/>
    <n v="2772.3"/>
    <n v="0"/>
    <n v="378.04"/>
    <n v="0.12"/>
    <n v="3150.34"/>
    <x v="5"/>
    <n v="215"/>
    <s v="BWT"/>
    <x v="29"/>
  </r>
  <r>
    <s v="35260425102812000500570030000002681273526481"/>
    <s v="BWT TRANSPORTE E LOGISTICA S. A - PAULINIA"/>
    <s v="07/04/2026"/>
    <s v="268"/>
    <s v="30721"/>
    <s v="TAW8C01 - RYF3A30 - RYF2J90"/>
    <s v="ROBERTO RIVELINO CABRAL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1281"/>
    <n v="44110"/>
    <n v="3149.7"/>
    <n v="2771.74"/>
    <n v="0"/>
    <n v="377.96"/>
    <n v="0.12"/>
    <n v="3149.7"/>
    <x v="5"/>
    <n v="215"/>
    <s v="BWT"/>
    <x v="10"/>
  </r>
  <r>
    <s v="35260425102812000500570030000002691014474989"/>
    <s v="BWT TRANSPORTE E LOGISTICA S. A - PAULINIA"/>
    <s v="07/04/2026"/>
    <s v="269"/>
    <s v="30722"/>
    <s v="JBT6B33 - BDQ4E30"/>
    <s v="NEY CESAR WANDERLINDE LEINEKER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49350"/>
    <n v="35552"/>
    <n v="2359.83"/>
    <n v="2076.65"/>
    <n v="0"/>
    <n v="283.18"/>
    <n v="0.12"/>
    <n v="2359.83"/>
    <x v="5"/>
    <n v="215"/>
    <s v="BWT"/>
    <x v="15"/>
  </r>
  <r>
    <s v="41260325102812000179570030000004651999730485"/>
    <s v="BWT ARAUCARIA - ARAUCARIA"/>
    <s v="07/04/2026"/>
    <s v="828"/>
    <m/>
    <s v="JAS1A99 - JAS0J82 - SFA7G28"/>
    <s v="EDUARDO RAFAEL BORGES"/>
    <m/>
    <s v="PR"/>
    <m/>
    <s v="SC"/>
    <s v="IPIRANGA PRODUTOS DE PETROLEO S.A"/>
    <s v="USINA ALTO ALEGRE S.A - ACUCAR E AL"/>
    <s v="USINA ALTO ALEGRE S.A - ACUCAR E AL"/>
    <s v="IPIRANGA PRODUTOS DE PETROLEO S.A"/>
    <s v="IPIRANGA PRODUTOS DE PETROLEO S.A"/>
    <m/>
    <m/>
    <m/>
    <n v="72.790000000000006"/>
    <n v="72.790000000000006"/>
    <n v="0"/>
    <n v="0"/>
    <n v="0.12"/>
    <n v="72.790000000000006"/>
    <x v="21"/>
    <s v="0"/>
    <s v="BWT"/>
    <x v="5"/>
  </r>
  <r>
    <s v="41260325102812000179570030000005691492954650"/>
    <s v="BWT ARAUCARIA - ARAUCARIA"/>
    <s v="07/04/2026"/>
    <s v="829"/>
    <m/>
    <s v="BDQ4E39"/>
    <s v="LUIZ CARLOS COELHO"/>
    <m/>
    <s v="PR"/>
    <m/>
    <s v="PR"/>
    <s v="IPIRANGA PRODUTOS DE PETROLEO S/A"/>
    <s v="IPIRANGA PRODUTOS DE PETROLEO S/A"/>
    <s v="IPIRANGA PRODUTOS DE PETROLEO S/A"/>
    <s v="IPIRANGA PRODUTOS DE PETROLEO S.A"/>
    <s v="IPIRANGA PRODUTOS DE PETROLEO S.A"/>
    <m/>
    <m/>
    <m/>
    <n v="215.98"/>
    <n v="215.98"/>
    <n v="0"/>
    <n v="0"/>
    <m/>
    <m/>
    <x v="21"/>
    <s v="0"/>
    <s v="BWT"/>
    <x v="18"/>
  </r>
  <r>
    <s v="41260425102812000179570030000008271018522559"/>
    <s v="BWT ARAUCARIA - ARAUCARIA"/>
    <s v="07/04/2026"/>
    <s v="827"/>
    <s v="79457"/>
    <s v="TAW8B90 - JDJ6D53 - JDJ6D33"/>
    <s v="DEIZE CRISTINA WEILER"/>
    <s v="PARANAGUA"/>
    <s v="PR"/>
    <s v="PASSO FUNDO"/>
    <s v="RS"/>
    <s v="IPIRANGA PRODUTOS DE PETROLEO S.A"/>
    <s v="IPIRANGA PRODUTOS DE PETROLEO S.A"/>
    <s v="CATTALINI TERMINAIS MARITIMOS S/A"/>
    <s v="IPIRANGA PRODUTOS DE PETROLEO S.A."/>
    <s v="IPIRANGA PRODUTOS DE PETROLEO S.A."/>
    <s v="Diesel S10 A"/>
    <n v="59421"/>
    <n v="48999"/>
    <n v="12478.41"/>
    <n v="12478.41"/>
    <n v="0"/>
    <n v="0"/>
    <n v="0.12"/>
    <n v="12478.41"/>
    <x v="20"/>
    <n v="636"/>
    <s v="BWT"/>
    <x v="50"/>
  </r>
  <r>
    <s v="41260425102812000179570030000008301053726381"/>
    <s v="BWT ARAUCARIA - ARAUCARIA"/>
    <s v="07/04/2026"/>
    <s v="830"/>
    <s v="79476"/>
    <s v="SFF3I82 - JCO4B49 - JCO4B32"/>
    <s v="ANDRIELIA APARECIDA GOMES"/>
    <s v="PARANAGUA"/>
    <s v="PR"/>
    <s v="PASSO FUNDO"/>
    <s v="RS"/>
    <s v="IPIRANGA PRODUTOS DE PETROLEO S.A"/>
    <s v="IPIRANGA PRODUTOS DE PETROLEO S.A"/>
    <s v="CATTALINI TERMINAIS MARITIMOS S/A"/>
    <s v="IPIRANGA PRODUTOS DE PETROLEO S.A."/>
    <s v="IPIRANGA PRODUTOS DE PETROLEO S.A."/>
    <s v="Diesel S10 A"/>
    <n v="57521"/>
    <n v="47403"/>
    <n v="12079.41"/>
    <n v="12079.41"/>
    <n v="0"/>
    <n v="0"/>
    <n v="0.12"/>
    <n v="12079.41"/>
    <x v="20"/>
    <n v="636"/>
    <s v="BWT"/>
    <x v="27"/>
  </r>
  <r>
    <s v="41260425102812000179570030000008311049835446"/>
    <s v="BWT ARAUCARIA - ARAUCARIA"/>
    <s v="07/04/2026"/>
    <s v="831"/>
    <s v="1096319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7921"/>
    <n v="58341"/>
    <n v="3894.49"/>
    <n v="3894.49"/>
    <n v="0"/>
    <n v="0"/>
    <m/>
    <m/>
    <x v="2"/>
    <n v="153"/>
    <s v="BWT"/>
    <x v="2"/>
  </r>
  <r>
    <s v="41260425102812000179570030000008321960182767"/>
    <s v="BWT ARAUCARIA - ARAUCARIA"/>
    <s v="07/04/2026"/>
    <s v="832"/>
    <s v="1096309"/>
    <s v="BBM5I48"/>
    <s v="FERNANDO JOSE CARVALH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599"/>
    <n v="58299"/>
    <n v="3964.12"/>
    <n v="3964.12"/>
    <n v="0"/>
    <n v="0"/>
    <m/>
    <m/>
    <x v="2"/>
    <n v="153"/>
    <s v="BWT"/>
    <x v="19"/>
  </r>
  <r>
    <s v="41260425102812000179570030000008331304322652"/>
    <s v="BWT ARAUCARIA - ARAUCARIA"/>
    <s v="07/04/2026"/>
    <s v="833"/>
    <s v="327775"/>
    <s v="TAW8B80 - JCV2H32 - JCV8B29"/>
    <s v="LAURO LORETO TEIXEIRA"/>
    <s v="SAO CARLOS DO IVAI"/>
    <s v="PR"/>
    <s v="ARAUCARIA"/>
    <s v="PR"/>
    <s v="IPIRANGA PRODUTOS DE PETROLEO S/A"/>
    <s v="COOPERATIVA AGRICOLA REGIONAL DE PR RES DE CAN"/>
    <s v="COOPERATIVA AGRICOLA REGIONAL DE PR RES DE CAN"/>
    <s v="IPIRANGA PRODUTOS DE PETROLEO S/A"/>
    <s v="IPIRANGA PRODUTOS DE PETROLEO S/A"/>
    <s v="Etanol Anidro"/>
    <n v="59448"/>
    <n v="47060"/>
    <n v="6429.3"/>
    <n v="6429.3"/>
    <n v="0"/>
    <n v="0"/>
    <m/>
    <m/>
    <x v="7"/>
    <n v="491"/>
    <s v="BWT"/>
    <x v="42"/>
  </r>
  <r>
    <s v="41260425102812000179570030000008341193995759"/>
    <s v="BWT ARAUCARIA - ARAUCARIA"/>
    <s v="07/04/2026"/>
    <s v="834"/>
    <s v="1096383"/>
    <s v="BBL9D24"/>
    <s v="ANTONIO MARCOS GONCALVES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3092"/>
    <n v="51392"/>
    <n v="3398.55"/>
    <n v="3398.55"/>
    <n v="0"/>
    <n v="0"/>
    <m/>
    <m/>
    <x v="2"/>
    <n v="153"/>
    <s v="BWT"/>
    <x v="51"/>
  </r>
  <r>
    <s v="41260425102812000179570030000008351305014727"/>
    <s v="BWT ARAUCARIA - ARAUCARIA"/>
    <s v="07/04/2026"/>
    <s v="835"/>
    <s v="17393"/>
    <s v="BDQ4E53"/>
    <s v="LAUDEMAR JOSE ALVES DOS SANTOS"/>
    <s v="PARANAGUA"/>
    <s v="PR"/>
    <s v="MUITOS CAPOES"/>
    <s v="RS"/>
    <s v="BOCCHI INDUSTRIA E COMERCIO DE CERE TDA"/>
    <s v="HELM DO BRASIL MERCANTIL LTDA"/>
    <s v="CATTALINI TERMINAIS MARITIMOS S/A"/>
    <s v="BOCCHI INDUSTRIA E COMERCIO DE CERE TDA"/>
    <s v="BOCCHI INDUSTRIA E COMERCIO DE CERE TDA"/>
    <s v="METANOL - ONU 1230"/>
    <n v="47959"/>
    <n v="47959"/>
    <n v="10311.18"/>
    <n v="8539.24"/>
    <n v="607.5"/>
    <n v="1164.44"/>
    <n v="0.12"/>
    <n v="9703.68"/>
    <x v="8"/>
    <n v="581"/>
    <s v="BWT"/>
    <x v="52"/>
  </r>
  <r>
    <s v="41260425102812000179570030000008361841922430"/>
    <s v="BWT ARAUCARIA - ARAUCARIA"/>
    <s v="07/04/2026"/>
    <s v="836"/>
    <s v="303700"/>
    <s v="SDY1G85 - RHW8I46 - RHW8I43"/>
    <s v="DENILSON NUNES CORDEIRO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810"/>
    <n v="26810"/>
    <n v="2650"/>
    <n v="2650"/>
    <n v="0"/>
    <n v="0"/>
    <m/>
    <m/>
    <x v="23"/>
    <n v="465"/>
    <s v="SUBCONTRATADO"/>
    <x v="6"/>
  </r>
  <r>
    <s v="41260425102812000179570030000008371065727753"/>
    <s v="BWT ARAUCARIA - ARAUCARIA"/>
    <s v="07/04/2026"/>
    <s v="837"/>
    <s v="327817"/>
    <s v="BDQ4E32 - IZW6J87 - IZW6J99"/>
    <s v="OSVALDIR RIBEIRO PINTO"/>
    <s v="SAO CARLOS DO IVAI"/>
    <s v="PR"/>
    <s v="ARAUCARIA"/>
    <s v="PR"/>
    <s v="IPIRANGA PRODUTOS DE PETROLEO S/A"/>
    <s v="COOPERATIVA AGRICOLA REGIONAL DE PR RES DE CAN"/>
    <s v="COOPERATIVA AGRICOLA REGIONAL DE PR RES DE CAN"/>
    <s v="IPIRANGA PRODUTOS DE PETROLEO S/A"/>
    <s v="IPIRANGA PRODUTOS DE PETROLEO S/A"/>
    <s v="Etanol Anidro"/>
    <n v="59478"/>
    <n v="46940"/>
    <n v="6432.55"/>
    <n v="6432.55"/>
    <n v="0"/>
    <n v="0"/>
    <m/>
    <m/>
    <x v="7"/>
    <n v="491"/>
    <s v="BWT"/>
    <x v="41"/>
  </r>
  <r>
    <s v="41260425102812000179570030000008381494931848"/>
    <s v="BWT ARAUCARIA - ARAUCARIA"/>
    <s v="07/04/2026"/>
    <s v="838"/>
    <s v="303706"/>
    <s v="SST4A84 - RHG5D75 - SWD0J05"/>
    <s v="DANIEL EUFRAZIO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870"/>
    <n v="26870"/>
    <n v="2650"/>
    <n v="2650"/>
    <n v="0"/>
    <n v="0"/>
    <m/>
    <m/>
    <x v="23"/>
    <n v="465"/>
    <s v="BWT"/>
    <x v="53"/>
  </r>
  <r>
    <s v="41260425102812000179570030000008391108779622"/>
    <s v="BWT ARAUCARIA - ARAUCARIA"/>
    <s v="07/04/2026"/>
    <s v="839"/>
    <s v="303708"/>
    <s v="SEE0I16 - TLA5E54 - TIV7C08"/>
    <s v="LEANDRO CESAR VIEIRA DE OLIVEIRA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60"/>
    <n v="26760"/>
    <n v="2650"/>
    <n v="2650"/>
    <n v="0"/>
    <n v="0"/>
    <m/>
    <m/>
    <x v="23"/>
    <n v="465"/>
    <s v="BWT"/>
    <x v="40"/>
  </r>
  <r>
    <s v="41260425102812000179570030000008401460530601"/>
    <s v="BWT ARAUCARIA - ARAUCARIA"/>
    <s v="07/04/2026"/>
    <s v="840"/>
    <s v="303709"/>
    <s v="TLA1D72 - TIT0I53 - BEZ9A98"/>
    <s v="ISACC SANTOS GUEDES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40"/>
    <n v="26740"/>
    <n v="2650"/>
    <n v="2650"/>
    <n v="0"/>
    <n v="0"/>
    <m/>
    <m/>
    <x v="23"/>
    <n v="465"/>
    <s v="BWT"/>
    <x v="54"/>
  </r>
  <r>
    <s v="41260425102812000179570030000008411462824316"/>
    <s v="BWT ARAUCARIA - ARAUCARIA"/>
    <s v="07/04/2026"/>
    <s v="841"/>
    <s v="303711"/>
    <s v="UFF5H53 - BBM5799"/>
    <s v="CLODOALDO SANTIAGO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30"/>
    <n v="26730"/>
    <n v="2650"/>
    <n v="2650"/>
    <n v="0"/>
    <n v="0"/>
    <m/>
    <m/>
    <x v="23"/>
    <n v="465"/>
    <s v="SUBCONTRATADO"/>
    <x v="6"/>
  </r>
  <r>
    <s v="41260425102812000179570030000008421873482211"/>
    <s v="BWT ARAUCARIA - ARAUCARIA"/>
    <s v="07/04/2026"/>
    <s v="842"/>
    <s v="303701"/>
    <s v="UFF5H53 - BBM5799"/>
    <s v="JOSE ARIMATEIA DA SILVA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830"/>
    <n v="26830"/>
    <n v="2650"/>
    <n v="2650"/>
    <n v="0"/>
    <n v="0"/>
    <m/>
    <m/>
    <x v="23"/>
    <n v="465"/>
    <s v="SUBCONTRATADO"/>
    <x v="6"/>
  </r>
  <r>
    <s v="41260425102812000179570030000008431743915697"/>
    <s v="BWT ARAUCARIA - ARAUCARIA"/>
    <s v="07/04/2026"/>
    <s v="843"/>
    <s v="303717"/>
    <s v="SST4A84 - RHG5D75 - SWD0J05"/>
    <s v="DANIEL EUFRAZIO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40"/>
    <n v="26740"/>
    <n v="2650"/>
    <n v="2650"/>
    <n v="0"/>
    <n v="0"/>
    <m/>
    <m/>
    <x v="23"/>
    <n v="465"/>
    <s v="BWT"/>
    <x v="53"/>
  </r>
  <r>
    <s v="41260425102812000179570030000008441731363500"/>
    <s v="BWT ARAUCARIA - ARAUCARIA"/>
    <s v="07/04/2026"/>
    <s v="844"/>
    <s v="303719"/>
    <s v="SEE0I16 - TLA5E54 - TIV7C08"/>
    <s v="LEANDRO CESAR VIEIRA DE OLIVEIRA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40"/>
    <n v="26740"/>
    <n v="2650"/>
    <n v="2650"/>
    <n v="0"/>
    <n v="0"/>
    <m/>
    <m/>
    <x v="23"/>
    <n v="465"/>
    <s v="BWT"/>
    <x v="40"/>
  </r>
  <r>
    <s v="41260425102812000179570030000008451345243120"/>
    <s v="BWT ARAUCARIA - ARAUCARIA"/>
    <s v="07/04/2026"/>
    <s v="845"/>
    <s v="303721"/>
    <s v="TLA1D72 - TIT0I53 - BEZ9A98"/>
    <s v="ISACC SANTOS GUEDES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60"/>
    <n v="26760"/>
    <n v="2650"/>
    <n v="2650"/>
    <n v="0"/>
    <n v="0"/>
    <m/>
    <m/>
    <x v="23"/>
    <n v="465"/>
    <s v="BWT"/>
    <x v="54"/>
  </r>
  <r>
    <s v="41260425102812000179570030000008461438915923"/>
    <s v="BWT ARAUCARIA - ARAUCARIA"/>
    <s v="07/04/2026"/>
    <s v="846"/>
    <s v="303712"/>
    <s v="SDY1G85 - RHW8I46 - RHW8I43"/>
    <s v="DENILSON NUNES CORDEIRO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30"/>
    <n v="26730"/>
    <n v="2650"/>
    <n v="2650"/>
    <n v="0"/>
    <n v="0"/>
    <m/>
    <m/>
    <x v="23"/>
    <n v="465"/>
    <s v="SUBCONTRATADO"/>
    <x v="6"/>
  </r>
  <r>
    <s v="41260425102812000179570030000008471354564914"/>
    <s v="BWT ARAUCARIA - ARAUCARIA"/>
    <s v="07/04/2026"/>
    <s v="847"/>
    <s v="1096412"/>
    <s v="BDQ4E39"/>
    <s v="WERNER DUCK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7669"/>
    <n v="73489"/>
    <n v="4368.8599999999997"/>
    <n v="4368.8599999999997"/>
    <n v="0"/>
    <n v="0"/>
    <m/>
    <m/>
    <x v="2"/>
    <n v="153"/>
    <s v="BWT"/>
    <x v="18"/>
  </r>
  <r>
    <s v="41260425102812000179570030000008481003819780"/>
    <s v="BWT ARAUCARIA - ARAUCARIA"/>
    <s v="07/04/2026"/>
    <s v="848"/>
    <s v="1096405"/>
    <s v="JCI5E48 - AWZ2403"/>
    <s v="JOAO GABRIEL DA CRUZ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9320"/>
    <n v="58360"/>
    <n v="4038.16"/>
    <n v="4038.16"/>
    <n v="0"/>
    <n v="0"/>
    <m/>
    <m/>
    <x v="2"/>
    <n v="153"/>
    <s v="BWT"/>
    <x v="8"/>
  </r>
  <r>
    <s v="42260425102812000330570030000000281116361262"/>
    <s v="BWT TRANSPORTE E LOGISTICA S. A - ITAJAI"/>
    <s v="07/04/2026"/>
    <s v="28"/>
    <s v="411845 - 411846"/>
    <s v="JCS3D69 - SFE2D68 - JCS3D64"/>
    <s v="MARCELO MARTINS GONCALVES"/>
    <s v="JOACABA"/>
    <s v="SC"/>
    <s v="PAULINIA"/>
    <s v="SP"/>
    <s v="VIBRA ENERGIA S.A - FILIAL 64"/>
    <s v="ADM DO BRASIL LTDA"/>
    <s v="ADM DO BRASIL LTDA"/>
    <s v="VIBRA ENERGIA S.A - FILIAL 64"/>
    <s v="VIBRA ENERGIA S.A - FILIAL 64"/>
    <s v="Biodiesel - B100"/>
    <n v="59591"/>
    <s v="52359.99"/>
    <n v="18505.990000000002"/>
    <n v="16285.27"/>
    <n v="0"/>
    <n v="2220.7199999999998"/>
    <n v="0.12"/>
    <n v="18505.990000000002"/>
    <x v="24"/>
    <n v="882"/>
    <s v="SUBCONTRATADO"/>
    <x v="6"/>
  </r>
  <r>
    <s v="42260425102812000330570030000000291632984330"/>
    <s v="BWT TRANSPORTE E LOGISTICA S. A - ITAJAI"/>
    <s v="07/04/2026"/>
    <s v="29"/>
    <s v="411910"/>
    <s v="JCS3D69 - SFE2D68 - JCS3D64"/>
    <s v="MARCOS AURELIO NOGUEIRA"/>
    <s v="JOACABA"/>
    <s v="SC"/>
    <s v="PAULINIA"/>
    <s v="SP"/>
    <s v="VIBRA ENERGIA S.A - FILIAL 64"/>
    <s v="ADM DO BRASIL LTDA"/>
    <s v="ADM DO BRASIL LTDA"/>
    <s v="VIBRA ENERGIA S.A - FILIAL 64"/>
    <s v="VIBRA ENERGIA S.A - FILIAL 64"/>
    <s v="Biodiesel - B100"/>
    <n v="58598"/>
    <n v="51440"/>
    <n v="18197.61"/>
    <n v="16013.9"/>
    <n v="0"/>
    <n v="2183.71"/>
    <n v="0.12"/>
    <n v="18197.61"/>
    <x v="24"/>
    <n v="882"/>
    <s v="SUBCONTRATADO"/>
    <x v="6"/>
  </r>
  <r>
    <s v="43260325102812000250570030000001801876449531"/>
    <s v="BWT TRANSPORTE E LOGISTICA S. A - ESTEIO"/>
    <s v="07/04/2026"/>
    <s v="254"/>
    <m/>
    <s v="SEE0I38 - JBW6D87 - JBW6D88"/>
    <s v="FELIPE NUNES"/>
    <m/>
    <s v="RS"/>
    <m/>
    <s v="SC"/>
    <s v="IPIRANGA PRODUTOS DE PETROLEO S/A"/>
    <s v="IPIRANGA PRODUTOS DE PETROLEO S/A"/>
    <s v="IPIRANGA PRODUTOS DE PETROLEO S/A"/>
    <s v="IPIRANGA PRODUTOS DE PETROLEO S.A."/>
    <s v="IPIRANGA PRODUTOS DE PETROLEO S.A."/>
    <m/>
    <m/>
    <m/>
    <n v="1063.6300000000001"/>
    <n v="1063.6300000000001"/>
    <n v="0"/>
    <n v="0"/>
    <n v="0.12"/>
    <n v="1063.6300000000001"/>
    <x v="21"/>
    <s v="0"/>
    <s v="BWT"/>
    <x v="0"/>
  </r>
  <r>
    <s v="43260325102812000250570030000001861378367979"/>
    <s v="BWT TRANSPORTE E LOGISTICA S. A - ESTEIO"/>
    <s v="07/04/2026"/>
    <s v="255"/>
    <m/>
    <s v="SEE2J87 - RYD5E09 - RYD5D89"/>
    <s v="LUIZ CEZAR KELCZESKI"/>
    <m/>
    <s v="RS"/>
    <m/>
    <s v="SC"/>
    <s v="IPIRANGA PRODUTOS DE PETROLEO S/A"/>
    <s v="IPIRANGA PRODUTOS DE PETROLEO S/A"/>
    <s v="IPIRANGA PRODUTOS DE PETROLEO S/A"/>
    <s v="IPIRANGA PRODUTOS DE PETROLEO S.A."/>
    <s v="IPIRANGA PRODUTOS DE PETROLEO S.A."/>
    <m/>
    <m/>
    <m/>
    <n v="1063.6300000000001"/>
    <n v="1063.6300000000001"/>
    <n v="0"/>
    <n v="0"/>
    <n v="0.12"/>
    <n v="1063.6300000000001"/>
    <x v="21"/>
    <s v="0"/>
    <s v="BWT"/>
    <x v="45"/>
  </r>
  <r>
    <s v="43260325102812000250570030000001901110238498"/>
    <s v="BWT TRANSPORTE E LOGISTICA S. A - ESTEIO"/>
    <s v="07/04/2026"/>
    <s v="256"/>
    <m/>
    <s v="JCW7D75 - JCX7F40 - TAW8C09"/>
    <s v="CLAIR SONAI"/>
    <m/>
    <s v="RS"/>
    <m/>
    <s v="SC"/>
    <s v="IPIRANGA PRODUTOS DE PETROLEO S/A"/>
    <s v="IPIRANGA PRODUTOS DE PETROLEO S/A"/>
    <s v="IPIRANGA PRODUTOS DE PETROLEO S/A"/>
    <s v="IPIRANGA PRODUTOS DE PETROLEO S.A."/>
    <s v="IPIRANGA PRODUTOS DE PETROLEO S.A."/>
    <m/>
    <m/>
    <m/>
    <n v="1063.6300000000001"/>
    <n v="1063.6300000000001"/>
    <n v="0"/>
    <n v="0"/>
    <n v="0.12"/>
    <n v="1063.6300000000001"/>
    <x v="21"/>
    <s v="0"/>
    <s v="BWT"/>
    <x v="12"/>
  </r>
  <r>
    <s v="43260325102812000250570030000002121820429166"/>
    <s v="BWT TRANSPORTE E LOGISTICA S. A - ESTEIO"/>
    <s v="07/04/2026"/>
    <s v="257"/>
    <m/>
    <s v="BBD0E79 - BDQ4E19 - BBD0E78"/>
    <s v="ADRIANO DAGNON"/>
    <m/>
    <s v="RS"/>
    <m/>
    <s v="SP"/>
    <s v="IPIRANGA PRODUTOS DE PETROLEO S/A"/>
    <s v="BE8 S.A."/>
    <s v="BE8 S.A."/>
    <s v="IPIRANGA PRODUTOS DE PETROLEO S/A"/>
    <s v="IPIRANGA PRODUTOS DE PETROLEO S/A"/>
    <m/>
    <m/>
    <m/>
    <n v="222.3"/>
    <n v="222.3"/>
    <n v="0"/>
    <n v="0"/>
    <n v="0.12"/>
    <n v="222.3"/>
    <x v="21"/>
    <s v="0"/>
    <s v="BWT"/>
    <x v="55"/>
  </r>
  <r>
    <s v="43260425102812000250570030000002581051623566"/>
    <s v="BWT TRANSPORTE E LOGISTICA S. A - ESTEIO"/>
    <s v="07/04/2026"/>
    <s v="258"/>
    <s v="39329 - 39328"/>
    <s v="BBD0E79 - BDQ4E19 - BBD0E78"/>
    <s v="ADRIANO DAGNON"/>
    <s v="MUITOS CAPOES"/>
    <s v="RS"/>
    <s v="ARAUCARIA"/>
    <s v="PR"/>
    <s v="ROYAL FIC DISTRIBUIDORA DE DERIVADO OLEO S/A"/>
    <s v="BOCCHI INDUSTRIA E COMERCIO DE CERE TDA"/>
    <s v="BOCCHI INDUSTRIA E COMERCIO DE CERE TDA"/>
    <s v="ROYAL FIC DISTRIBUIDORA DE DERIVADO OLEO S/A"/>
    <s v="ROYAL FIC DISTRIBUIDORA DE DERIVADO OLEO S/A"/>
    <s v="Biodiesel - B100"/>
    <n v="57047"/>
    <n v="75490"/>
    <n v="7986.58"/>
    <n v="6636.69"/>
    <n v="391.5"/>
    <n v="958.39"/>
    <n v="0.12"/>
    <n v="7986.58"/>
    <x v="11"/>
    <n v="495"/>
    <s v="BWT"/>
    <x v="55"/>
  </r>
  <r>
    <s v="43260425102812000250570030000002591985112665"/>
    <s v="BWT TRANSPORTE E LOGISTICA S. A - ESTEIO"/>
    <s v="07/04/2026"/>
    <s v="259"/>
    <s v="39331"/>
    <s v="BBD0E82 - BBD0E81 - RHH5C95"/>
    <s v="REINALDO FERNEDA"/>
    <s v="MUITOS CAPOES"/>
    <s v="RS"/>
    <s v="ARAUCARIA"/>
    <s v="PR"/>
    <s v="ROYAL FIC DISTRIBUIDORA DE DERIVADO OLEO S/A"/>
    <s v="BOCCHI INDUSTRIA E COMERCIO DE CERE TDA"/>
    <s v="BOCCHI INDUSTRIA E COMERCIO DE CERE TDA"/>
    <s v="ROYAL FIC DISTRIBUIDORA DE DERIVADO OLEO S/A"/>
    <s v="ROYAL FIC DISTRIBUIDORA DE DERIVADO OLEO S/A"/>
    <s v="Biodiesel - B100"/>
    <n v="57115"/>
    <n v="76200"/>
    <n v="7996.1"/>
    <n v="6645.07"/>
    <n v="391.5"/>
    <n v="959.53"/>
    <n v="0.12"/>
    <n v="7996.1"/>
    <x v="11"/>
    <n v="495"/>
    <s v="BWT"/>
    <x v="48"/>
  </r>
  <r>
    <s v="35260425102812000500570030000002701941952982"/>
    <s v="BWT TRANSPORTE E LOGISTICA S. A - PAULINIA"/>
    <s v="08/04/2026"/>
    <s v="270"/>
    <s v="30750"/>
    <s v="JBT9E33 - SEE2J92 - JBT9E30"/>
    <s v="SILAS DE LIMA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1295"/>
    <n v="44120"/>
    <n v="3149.73"/>
    <n v="2771.76"/>
    <n v="0"/>
    <n v="377.97"/>
    <n v="0.12"/>
    <n v="3149.73"/>
    <x v="5"/>
    <n v="215"/>
    <s v="BWT"/>
    <x v="11"/>
  </r>
  <r>
    <s v="35260425102812000500570030000002711373880258"/>
    <s v="BWT TRANSPORTE E LOGISTICA S. A - PAULINIA"/>
    <s v="08/04/2026"/>
    <s v="271"/>
    <s v="30752"/>
    <s v="SEE2J90 - RYG6E01 - RYG6D61"/>
    <s v="VILSO DE OLIVEIRA COSTA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1276"/>
    <n v="44143"/>
    <n v="3150.15"/>
    <n v="2772.13"/>
    <n v="0"/>
    <n v="378.02"/>
    <n v="0.12"/>
    <n v="3150.15"/>
    <x v="5"/>
    <n v="215"/>
    <s v="BWT"/>
    <x v="30"/>
  </r>
  <r>
    <s v="35260425102812000500570030000002721536866663"/>
    <s v="BWT TRANSPORTE E LOGISTICA S. A - PAULINIA"/>
    <s v="08/04/2026"/>
    <s v="272"/>
    <s v="30754"/>
    <s v="JCI7B71 - BAX9A94"/>
    <s v="FRANCISCO ADEMIR MORO JUNIOR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44474"/>
    <n v="32039"/>
    <n v="2360.16"/>
    <n v="2076.94"/>
    <n v="0"/>
    <n v="283.22000000000003"/>
    <n v="0.12"/>
    <n v="2360.16"/>
    <x v="5"/>
    <n v="215"/>
    <s v="BWT"/>
    <x v="17"/>
  </r>
  <r>
    <s v="35260425102812000500570030000002731375308998"/>
    <s v="BWT TRANSPORTE E LOGISTICA S. A - PAULINIA"/>
    <s v="08/04/2026"/>
    <s v="273"/>
    <s v="30763"/>
    <s v="AYP3139 - SEX2C73 - AYP3138"/>
    <s v="MARIOVANY QUIRINO GOM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Diesel S10 A"/>
    <n v="60488"/>
    <n v="50120"/>
    <n v="3150.19"/>
    <n v="2772.17"/>
    <n v="0"/>
    <n v="378.02"/>
    <n v="0.12"/>
    <n v="3150.19"/>
    <x v="5"/>
    <n v="215"/>
    <s v="BWT"/>
    <x v="13"/>
  </r>
  <r>
    <s v="35260425102812000500570030000002741407981975"/>
    <s v="BWT TRANSPORTE E LOGISTICA S. A - PAULINIA"/>
    <s v="08/04/2026"/>
    <s v="274"/>
    <s v="648452"/>
    <s v="SFC5G04 - JAU3A29 - JAU3A45"/>
    <s v="JONATAN MODESTO"/>
    <s v="SANTOS"/>
    <s v="SP"/>
    <s v="CUBATAO"/>
    <s v="SP"/>
    <s v="VIBRA ENERGIA S.A - FILIAL 100"/>
    <s v="AGEO TERMINAIS E ARMAZENS GERAIS S."/>
    <s v="AGEO TERMINAIS E ARMAZENS GERAIS S."/>
    <s v="VIBRA ENERGIA S.A - FILIAL 100"/>
    <s v="VIBRA ENERGIA S.A - FILIAL 100"/>
    <s v="Diesel S10 A"/>
    <n v="59751"/>
    <n v="49940"/>
    <n v="1609.69"/>
    <n v="1416.53"/>
    <n v="0"/>
    <n v="193.16"/>
    <n v="0.12"/>
    <n v="1609.69"/>
    <x v="25"/>
    <n v="20"/>
    <s v="BWT"/>
    <x v="26"/>
  </r>
  <r>
    <s v="35260425102812000500570030000002751886444263"/>
    <s v="BWT TRANSPORTE E LOGISTICA S. A - PAULINIA"/>
    <s v="08/04/2026"/>
    <s v="275"/>
    <s v="30790"/>
    <s v="BDV9E57 - BDV9E56 - SEE0I05"/>
    <s v="RODRIGO DOS SANTOS ALVE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Diesel S10 A"/>
    <n v="56576"/>
    <n v="46641"/>
    <n v="3150.25"/>
    <n v="2772.22"/>
    <n v="0"/>
    <n v="378.03"/>
    <n v="0.12"/>
    <n v="3150.25"/>
    <x v="5"/>
    <n v="215"/>
    <s v="BWT"/>
    <x v="34"/>
  </r>
  <r>
    <s v="35260425102812000500570030000002761495507477"/>
    <s v="BWT TRANSPORTE E LOGISTICA S. A - PAULINIA"/>
    <s v="08/04/2026"/>
    <s v="276"/>
    <s v="648462"/>
    <s v="JBC1D05 - JBC1C79 - TAW2A67"/>
    <s v="LUIZ ALEX DOS SANTOS"/>
    <s v="SANTOS"/>
    <s v="SP"/>
    <s v="CUBATAO"/>
    <s v="SP"/>
    <s v="VIBRA ENERGIA S.A - FILIAL 100"/>
    <s v="AGEO TERMINAIS E ARMAZENS GERAIS S."/>
    <s v="AGEO TERMINAIS E ARMAZENS GERAIS S."/>
    <s v="VIBRA ENERGIA S.A - FILIAL 100"/>
    <s v="VIBRA ENERGIA S.A - FILIAL 100"/>
    <s v="Diesel S10 A"/>
    <n v="60062"/>
    <n v="50200"/>
    <n v="1618.07"/>
    <n v="1423.9"/>
    <n v="0"/>
    <n v="194.17"/>
    <n v="0.12"/>
    <n v="1618.07"/>
    <x v="25"/>
    <n v="20"/>
    <s v="BWT"/>
    <x v="56"/>
  </r>
  <r>
    <s v="35260425102812000500570030000002771924910275"/>
    <s v="BWT TRANSPORTE E LOGISTICA S. A - PAULINIA"/>
    <s v="08/04/2026"/>
    <s v="277"/>
    <s v="101523"/>
    <s v="BDV9E54 - BDV9E55 - SEY8B40"/>
    <s v="ALEX DE OLIVEIRA RODRIGUES"/>
    <s v="SANTOS"/>
    <s v="SP"/>
    <s v="CUBATAO"/>
    <s v="SP"/>
    <s v="VIBRA ENERGIA S.A - FILIAL 100"/>
    <s v="ULTRACARGO LOGISTICA S.A"/>
    <s v="ULTRACARGO LOGISTICA S.A"/>
    <s v="VIBRA ENERGIA S.A - FILIAL 100"/>
    <s v="VIBRA ENERGIA S.A - FILIAL 100"/>
    <s v="Diesel S10 A"/>
    <n v="59580"/>
    <n v="49320"/>
    <n v="1605.08"/>
    <n v="1412.47"/>
    <n v="0"/>
    <n v="192.61"/>
    <n v="0.12"/>
    <n v="1605.08"/>
    <x v="25"/>
    <n v="20"/>
    <s v="BWT"/>
    <x v="44"/>
  </r>
  <r>
    <s v="35260425102812000500570030000002791290926291"/>
    <s v="BWT TRANSPORTE E LOGISTICA S. A - PAULINIA"/>
    <s v="08/04/2026"/>
    <s v="279"/>
    <s v="101532"/>
    <s v="TAW8B87 - JDJ0B76 - JDJ0B57"/>
    <s v="VITOR RAFAEL PEDROZO"/>
    <s v="SANTOS"/>
    <s v="SP"/>
    <s v="CUBATAO"/>
    <s v="SP"/>
    <s v="VIBRA ENERGIA S.A - FILIAL 100"/>
    <s v="ULTRACARGO LOGISTICA S.A"/>
    <s v="ULTRACARGO LOGISTICA S.A"/>
    <s v="VIBRA ENERGIA S.A - FILIAL 100"/>
    <s v="VIBRA ENERGIA S.A - FILIAL 100"/>
    <s v="Diesel S10 A"/>
    <n v="59441"/>
    <n v="49300"/>
    <n v="1601.34"/>
    <n v="1409.18"/>
    <n v="0"/>
    <n v="192.16"/>
    <n v="0.12"/>
    <n v="1601.34"/>
    <x v="25"/>
    <n v="20"/>
    <s v="BWT"/>
    <x v="43"/>
  </r>
  <r>
    <s v="35260425102812000500570030000002801238635746"/>
    <s v="BWT TRANSPORTE E LOGISTICA S. A - PAULINIA"/>
    <s v="08/04/2026"/>
    <s v="280"/>
    <s v="1463696"/>
    <s v="TAW8B87 - JDJ0B76 - JDJ0B57"/>
    <s v="VITOR RAFAEL PEDROZO"/>
    <s v="CUBATAO"/>
    <s v="SP"/>
    <s v="BAURU"/>
    <s v="SP"/>
    <s v="VIBRA ENERGIA S.A - FILIAL 100"/>
    <s v="VIBRA ENERGIA S.A - FILIAL 100"/>
    <s v="VIBRA ENERGIA S.A - FILIAL 100"/>
    <s v="VIBRA ENERGIA S.A - FILIAL 162"/>
    <s v="VIBRA ENERGIA S.A - FILIAL 162"/>
    <s v="Diesel S10 A"/>
    <n v="60000"/>
    <n v="49519"/>
    <n v="9540"/>
    <n v="8395.2000000000007"/>
    <n v="0"/>
    <n v="1144.8"/>
    <n v="0.12"/>
    <n v="9540"/>
    <x v="26"/>
    <n v="405"/>
    <s v="BWT"/>
    <x v="43"/>
  </r>
  <r>
    <s v="35260425102812000500570030000002811618682107"/>
    <s v="BWT TRANSPORTE E LOGISTICA S. A - PAULINIA"/>
    <s v="08/04/2026"/>
    <s v="281"/>
    <s v="648478"/>
    <s v="RHG5D74 - JAO8A83 - JAO8A77"/>
    <s v="CLAUDINIR RODRIGUES GARCIA"/>
    <s v="SANTOS"/>
    <s v="SP"/>
    <s v="CUBATAO"/>
    <s v="SP"/>
    <s v="VIBRA ENERGIA S.A - FILIAL 100"/>
    <s v="AGEO TERMINAIS E ARMAZENS GERAIS S."/>
    <s v="AGEO TERMINAIS E ARMAZENS GERAIS S."/>
    <s v="VIBRA ENERGIA S.A - FILIAL 100"/>
    <s v="VIBRA ENERGIA S.A - FILIAL 100"/>
    <s v="Diesel S10 A"/>
    <n v="60038"/>
    <n v="75900"/>
    <n v="1617.42"/>
    <n v="1423.33"/>
    <n v="0"/>
    <n v="194.09"/>
    <n v="0.12"/>
    <n v="1617.42"/>
    <x v="25"/>
    <n v="20"/>
    <s v="BWT"/>
    <x v="24"/>
  </r>
  <r>
    <s v="35260425102812000500570030000002821197140971"/>
    <s v="BWT TRANSPORTE E LOGISTICA S. A - PAULINIA"/>
    <s v="08/04/2026"/>
    <s v="282"/>
    <s v="1463704"/>
    <s v="BDV9E54 - BDV9E55 - SEY8B40"/>
    <s v="ALEXANDRE HENRIQUE FAUSTINO"/>
    <s v="CUBATAO"/>
    <s v="SP"/>
    <s v="BAURU"/>
    <s v="SP"/>
    <s v="VIBRA ENERGIA S.A - FILIAL 100"/>
    <s v="VIBRA ENERGIA S.A - FILIAL 100"/>
    <s v="VIBRA ENERGIA S.A - FILIAL 100"/>
    <s v="VIBRA ENERGIA S.A - FILIAL 162"/>
    <s v="VIBRA ENERGIA S.A - FILIAL 162"/>
    <s v="Diesel S10 A"/>
    <n v="60000"/>
    <n v="49668"/>
    <n v="9540"/>
    <n v="8395.2000000000007"/>
    <n v="0"/>
    <n v="1144.8"/>
    <n v="0.12"/>
    <n v="9540"/>
    <x v="26"/>
    <n v="405"/>
    <s v="BWT"/>
    <x v="44"/>
  </r>
  <r>
    <s v="35260425102812000500570030000002831935984272"/>
    <s v="BWT TRANSPORTE E LOGISTICA S. A - PAULINIA"/>
    <s v="08/04/2026"/>
    <s v="283"/>
    <s v="1463702"/>
    <s v="RHG5D74 - JAO8A83 - JAO8A77"/>
    <s v="CLAUDINIR RODRIGUES GARCIA"/>
    <s v="CUBATAO"/>
    <s v="SP"/>
    <s v="BAURU"/>
    <s v="SP"/>
    <s v="VIBRA ENERGIA S.A - FILIAL 100"/>
    <s v="VIBRA ENERGIA S.A - FILIAL 100"/>
    <s v="VIBRA ENERGIA S.A - FILIAL 100"/>
    <s v="VIBRA ENERGIA S.A - FILIAL 162"/>
    <s v="VIBRA ENERGIA S.A - FILIAL 162"/>
    <s v="Diesel S10 A"/>
    <n v="60000"/>
    <n v="50148"/>
    <n v="9540"/>
    <n v="8395.2000000000007"/>
    <n v="0"/>
    <n v="1144.8"/>
    <n v="0.12"/>
    <n v="9540"/>
    <x v="26"/>
    <n v="405"/>
    <s v="BWT"/>
    <x v="24"/>
  </r>
  <r>
    <s v="35260425102812000500570030000002841729670630"/>
    <s v="BWT TRANSPORTE E LOGISTICA S. A - PAULINIA"/>
    <s v="08/04/2026"/>
    <s v="284"/>
    <s v="1463730"/>
    <s v="BBD0E82 - BBD0E81 - RHH5C95"/>
    <s v="JONATAN MODESTO"/>
    <s v="CUBATAO"/>
    <s v="SP"/>
    <s v="BAURU"/>
    <s v="SP"/>
    <s v="VIBRA ENERGIA S.A - FILIAL 100"/>
    <s v="VIBRA ENERGIA S.A - FILIAL 100"/>
    <s v="VIBRA ENERGIA S.A - FILIAL 100"/>
    <s v="VIBRA ENERGIA S.A - FILIAL 162"/>
    <s v="VIBRA ENERGIA S.A - FILIAL 162"/>
    <s v="Diesel S10 A"/>
    <n v="60000"/>
    <n v="50148"/>
    <n v="9540"/>
    <n v="8395.2000000000007"/>
    <n v="0"/>
    <n v="1144.8"/>
    <n v="0.12"/>
    <n v="9540"/>
    <x v="26"/>
    <n v="405"/>
    <s v="BWT"/>
    <x v="48"/>
  </r>
  <r>
    <s v="35260425102812000500570030000002851549127730"/>
    <s v="BWT TRANSPORTE E LOGISTICA S. A - PAULINIA"/>
    <s v="08/04/2026"/>
    <s v="285"/>
    <s v="648507"/>
    <s v="JAZ8G73 - JAZ8G81 - RHH5C90"/>
    <s v="ANTONIO HENRIQUE DE SOUZA"/>
    <s v="SANTOS"/>
    <s v="SP"/>
    <s v="CUBATAO"/>
    <s v="SP"/>
    <s v="VIBRA ENERGIA S.A - FILIAL 100"/>
    <s v="AGEO TERMINAIS E ARMAZENS GERAIS S."/>
    <s v="AGEO TERMINAIS E ARMAZENS GERAIS S."/>
    <s v="VIBRA ENERGIA S.A - FILIAL 100"/>
    <s v="VIBRA ENERGIA S.A - FILIAL 100"/>
    <s v="Diesel S10 A"/>
    <n v="60062"/>
    <n v="75800"/>
    <n v="1618.07"/>
    <n v="1423.9"/>
    <n v="0"/>
    <n v="194.17"/>
    <n v="0.12"/>
    <n v="1618.07"/>
    <x v="25"/>
    <n v="20"/>
    <s v="BWT"/>
    <x v="25"/>
  </r>
  <r>
    <s v="35260425102812000500570030000002861031728943"/>
    <s v="BWT TRANSPORTE E LOGISTICA S. A - PAULINIA"/>
    <s v="08/04/2026"/>
    <s v="286"/>
    <s v="30853"/>
    <s v="SEE0I13 - RYG6E81 - RYG6F31"/>
    <s v="ALAOR BATISTA DE FREITAS"/>
    <s v="SANTOS"/>
    <s v="SP"/>
    <s v="PAULINIA"/>
    <s v="SP"/>
    <s v="IPIRANGA PRODUTOS DE PETROLEO S.A."/>
    <s v="IPIRANGA PRODUTOS DE PETROLEO S.A."/>
    <s v="ULTRACARGO LOGISTICA S.A"/>
    <s v="IPIRANGA PRODUTOS DE PETROLEO S/A"/>
    <s v="IPIRANGA PRODUTOS DE PETROLEO S/A"/>
    <s v="Diesel S10 A"/>
    <n v="59524"/>
    <n v="49280"/>
    <n v="3150.03"/>
    <n v="2772.03"/>
    <n v="0"/>
    <n v="378"/>
    <n v="0.12"/>
    <n v="3150.03"/>
    <x v="5"/>
    <n v="215"/>
    <s v="BWT"/>
    <x v="14"/>
  </r>
  <r>
    <s v="35260425102812000500570030000002871231898122"/>
    <s v="BWT TRANSPORTE E LOGISTICA S. A - PAULINIA"/>
    <s v="08/04/2026"/>
    <s v="287"/>
    <s v="30864"/>
    <s v="JCW7D75 - JCX7F40 - TAW8C09"/>
    <s v="CLAIR SONAI"/>
    <s v="SANTOS"/>
    <s v="SP"/>
    <s v="PAULINIA"/>
    <s v="SP"/>
    <s v="IPIRANGA PRODUTOS DE PETROLEO S.A."/>
    <s v="IPIRANGA PRODUTOS DE PETROLEO S.A."/>
    <s v="AGEO NORTE TERMINAIS E ARMAZENS GER A"/>
    <s v="IPIRANGA PRODUTOS DE PETROLEO S/A"/>
    <s v="IPIRANGA PRODUTOS DE PETROLEO S/A"/>
    <s v="Diesel S10 A"/>
    <n v="57331"/>
    <n v="47510"/>
    <n v="3149.94"/>
    <n v="2771.95"/>
    <n v="0"/>
    <n v="377.99"/>
    <n v="0.12"/>
    <n v="3149.94"/>
    <x v="5"/>
    <n v="215"/>
    <s v="BWT"/>
    <x v="12"/>
  </r>
  <r>
    <s v="35260425102812000500570030000002881613886465"/>
    <s v="BWT TRANSPORTE E LOGISTICA S. A - PAULINIA"/>
    <s v="08/04/2026"/>
    <s v="288"/>
    <s v="30870"/>
    <s v="BDQ4E29 - IZW8A03 - IZW8A02"/>
    <s v="LUIZ CARLOS COELHO"/>
    <s v="SANTOS"/>
    <s v="SP"/>
    <s v="PAULINIA"/>
    <s v="SP"/>
    <s v="IPIRANGA PRODUTOS DE PETROLEO S.A."/>
    <s v="IPIRANGA PRODUTOS DE PETROLEO S.A."/>
    <s v="AGEO NORTE TERMINAIS E ARMAZENS GER A"/>
    <s v="IPIRANGA PRODUTOS DE PETROLEO S/A"/>
    <s v="IPIRANGA PRODUTOS DE PETROLEO S/A"/>
    <s v="Diesel S10 A"/>
    <n v="57886"/>
    <n v="47970"/>
    <n v="3150.18"/>
    <n v="2772.16"/>
    <n v="0"/>
    <n v="378.02"/>
    <n v="0.12"/>
    <n v="3150.18"/>
    <x v="5"/>
    <n v="215"/>
    <s v="BWT"/>
    <x v="3"/>
  </r>
  <r>
    <s v="35260425102812000500570030000002891753429641"/>
    <s v="BWT TRANSPORTE E LOGISTICA S. A - PAULINIA"/>
    <s v="08/04/2026"/>
    <s v="289"/>
    <s v="1463769"/>
    <s v="JAZ8G73 - JAZ8G81 - RHH5C90"/>
    <s v="JONATAN MODESTO"/>
    <s v="CUBATAO"/>
    <s v="SP"/>
    <s v="BAURU"/>
    <s v="SP"/>
    <s v="VIBRA ENERGIA S.A - FILIAL 100"/>
    <s v="VIBRA ENERGIA S.A - FILIAL 100"/>
    <s v="VIBRA ENERGIA S.A - FILIAL 100"/>
    <s v="VIBRA ENERGIA S.A - FILIAL 162"/>
    <s v="VIBRA ENERGIA S.A - FILIAL 162"/>
    <s v="Diesel S10 A"/>
    <n v="60000"/>
    <n v="50148"/>
    <n v="9540"/>
    <n v="8395.2000000000007"/>
    <n v="0"/>
    <n v="1144.8"/>
    <n v="0.12"/>
    <n v="9540"/>
    <x v="26"/>
    <n v="405"/>
    <s v="BWT"/>
    <x v="25"/>
  </r>
  <r>
    <s v="41260425102812000179570030000008491990277704"/>
    <s v="BWT ARAUCARIA - ARAUCARIA"/>
    <s v="08/04/2026"/>
    <s v="849"/>
    <s v="1096539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7920"/>
    <n v="58200"/>
    <n v="3894.38"/>
    <n v="3894.38"/>
    <n v="0"/>
    <n v="0"/>
    <m/>
    <m/>
    <x v="2"/>
    <n v="153"/>
    <s v="BWT"/>
    <x v="2"/>
  </r>
  <r>
    <s v="41260425102812000179570030000008501926298683"/>
    <s v="BWT ARAUCARIA - ARAUCARIA"/>
    <s v="08/04/2026"/>
    <s v="850"/>
    <s v="327921"/>
    <s v="JCP3H51 - SFF3I78 - JCQ0C24"/>
    <s v="ERIC RENE PIOVAN"/>
    <s v="SAO CARLOS DO IVAI"/>
    <s v="PR"/>
    <s v="ITAJAI"/>
    <s v="SC"/>
    <s v="IPIRANGA PRODUTOS DE PETROLEO S.A"/>
    <s v="COOPERATIVA AGRICOLA REGIONAL DE PR RES DE CAN"/>
    <s v="COOPERATIVA AGRICOLA REGIONAL DE PR RES DE CAN"/>
    <s v="IPIRANGA PRODUTOS DE PETROLEO S.A"/>
    <s v="IPIRANGA PRODUTOS DE PETROLEO S.A"/>
    <s v="Etanol Anidro"/>
    <n v="59508"/>
    <n v="46960"/>
    <n v="10123.129999999999"/>
    <n v="8908.35"/>
    <n v="0"/>
    <n v="1214.78"/>
    <n v="0.12"/>
    <n v="10123.129999999999"/>
    <x v="27"/>
    <n v="711"/>
    <s v="SUBCONTRATADO"/>
    <x v="6"/>
  </r>
  <r>
    <s v="41260425102812000179570030000008511772538636"/>
    <s v="BWT ARAUCARIA - ARAUCARIA"/>
    <s v="08/04/2026"/>
    <s v="851"/>
    <s v="17397"/>
    <s v="JDJ2B32 - JDJ2B43 - TAW8B84"/>
    <s v="EDENIR MALOSTI PEREIRA"/>
    <s v="PARANAGUA"/>
    <s v="PR"/>
    <s v="MUITOS CAPOES"/>
    <s v="RS"/>
    <s v="BOCCHI INDUSTRIA E COMERCIO DE CERE TDA"/>
    <s v="HELM DO BRASIL MERCANTIL LTDA"/>
    <s v="CATTALINI TERMINAIS MARITIMOS S/A"/>
    <s v="BOCCHI INDUSTRIA E COMERCIO DE CERE TDA"/>
    <s v="BOCCHI INDUSTRIA E COMERCIO DE CERE TDA"/>
    <s v="METANOL - ONU 1230"/>
    <n v="48300"/>
    <n v="48300"/>
    <n v="10384.5"/>
    <n v="8603.76"/>
    <n v="607.5"/>
    <n v="1173.24"/>
    <n v="0.12"/>
    <n v="9777"/>
    <x v="8"/>
    <n v="581"/>
    <s v="BWT"/>
    <x v="37"/>
  </r>
  <r>
    <s v="41260425102812000179570030000008521414644358"/>
    <s v="BWT ARAUCARIA - ARAUCARIA"/>
    <s v="08/04/2026"/>
    <s v="852"/>
    <s v="1096704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177"/>
    <n v="58337"/>
    <n v="3920.78"/>
    <n v="3920.78"/>
    <n v="0"/>
    <n v="0"/>
    <m/>
    <m/>
    <x v="2"/>
    <n v="153"/>
    <s v="BWT"/>
    <x v="2"/>
  </r>
  <r>
    <s v="41260425102812000179570030000008531106787139"/>
    <s v="BWT ARAUCARIA - ARAUCARIA"/>
    <s v="08/04/2026"/>
    <s v="853"/>
    <s v="1096725"/>
    <s v="JCI5E48 - AWZ2403"/>
    <s v="JOAO GABRIEL DA CRUZ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9500"/>
    <n v="58400"/>
    <n v="4056.65"/>
    <n v="4056.65"/>
    <n v="0"/>
    <n v="0"/>
    <m/>
    <m/>
    <x v="2"/>
    <n v="153"/>
    <s v="BWT"/>
    <x v="8"/>
  </r>
  <r>
    <s v="41260425102812000179570030000008541187156840"/>
    <s v="BWT ARAUCARIA - ARAUCARIA"/>
    <s v="08/04/2026"/>
    <s v="854"/>
    <s v="1096769"/>
    <s v="BBL9D24"/>
    <s v="ANTONIO MARCOS GONCALVES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3036"/>
    <n v="51576"/>
    <n v="3392.8"/>
    <n v="3392.8"/>
    <n v="0"/>
    <n v="0"/>
    <m/>
    <m/>
    <x v="2"/>
    <n v="153"/>
    <s v="BWT"/>
    <x v="51"/>
  </r>
  <r>
    <s v="41260425102812000179570030000008551585196408"/>
    <s v="BWT ARAUCARIA - ARAUCARIA"/>
    <s v="08/04/2026"/>
    <s v="855"/>
    <s v="303787"/>
    <s v="BBM5I45 - BBQ6I95"/>
    <s v="VLADEMIR JORGE SANTOS"/>
    <s v="LAPA"/>
    <s v="PR"/>
    <s v="PAULINIA"/>
    <s v="SP"/>
    <s v="POTENCIAL AGRO S/A - MATRIZ"/>
    <s v="POTENCIAL AGRO S/A - MATRIZ"/>
    <s v="POTENCIAL AGRO S/A - MATRIZ"/>
    <s v="PETROLEO BRASILEIRO S.A. PETROBRAS IAL 643"/>
    <s v="PETROLEO BRASILEIRO S.A. PETROBRAS IAL 643"/>
    <s v="Biodiesel - B100"/>
    <n v="41733"/>
    <n v="56660"/>
    <n v="9807.26"/>
    <n v="8248.16"/>
    <n v="434.35"/>
    <n v="1124.75"/>
    <n v="0.12"/>
    <n v="9372.91"/>
    <x v="28"/>
    <n v="573"/>
    <s v="BWT"/>
    <x v="16"/>
  </r>
  <r>
    <s v="41260425102812000179570030000008561495618491"/>
    <s v="BWT ARAUCARIA - ARAUCARIA"/>
    <s v="08/04/2026"/>
    <s v="856"/>
    <s v="303802"/>
    <s v="UFF5H53 - BBM5799"/>
    <s v="CLODOALDO SANTIAGO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840"/>
    <n v="26840"/>
    <n v="2650"/>
    <n v="2650"/>
    <n v="0"/>
    <n v="0"/>
    <m/>
    <m/>
    <x v="23"/>
    <n v="465"/>
    <s v="SUBCONTRATADO"/>
    <x v="6"/>
  </r>
  <r>
    <s v="41260425102812000179570030000008571997060478"/>
    <s v="BWT ARAUCARIA - ARAUCARIA"/>
    <s v="08/04/2026"/>
    <s v="857"/>
    <s v="303788"/>
    <s v="JBU3A17 - JBU3A10 - SED7D20"/>
    <s v="VALDEREZ MAINARDES"/>
    <s v="LAPA"/>
    <s v="PR"/>
    <s v="PAULINIA"/>
    <s v="SP"/>
    <s v="POTENCIAL AGRO S/A - MATRIZ"/>
    <s v="POTENCIAL AGRO S/A - MATRIZ"/>
    <s v="POTENCIAL AGRO S/A - MATRIZ"/>
    <s v="PETROLEO BRASILEIRO S.A. PETROBRAS IAL 643"/>
    <s v="PETROLEO BRASILEIRO S.A. PETROBRAS IAL 643"/>
    <s v="Biodiesel - B100"/>
    <n v="59640"/>
    <n v="78020"/>
    <n v="14015.4"/>
    <n v="11842.12"/>
    <n v="558.45000000000005"/>
    <n v="1614.83"/>
    <n v="0.12"/>
    <n v="13456.95"/>
    <x v="28"/>
    <n v="573"/>
    <s v="BWT"/>
    <x v="31"/>
  </r>
  <r>
    <s v="41260425102812000179570030000008581940397241"/>
    <s v="BWT ARAUCARIA - ARAUCARIA"/>
    <s v="08/04/2026"/>
    <s v="858"/>
    <s v="1096810"/>
    <s v="JCK0D21 - BAQ4362"/>
    <s v="LUIZ GERVASIO STROPAR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780"/>
    <n v="58340"/>
    <n v="3982.71"/>
    <n v="3982.71"/>
    <n v="0"/>
    <n v="0"/>
    <m/>
    <m/>
    <x v="2"/>
    <n v="153"/>
    <s v="SUBCONTRATADO"/>
    <x v="6"/>
  </r>
  <r>
    <s v="41260425102812000179570030000008591893423382"/>
    <s v="BWT ARAUCARIA - ARAUCARIA"/>
    <s v="08/04/2026"/>
    <s v="859"/>
    <s v="303804"/>
    <s v="SEE0I16 - TLA5E54 - TIV7C08"/>
    <s v="LEANDRO CESAR VIEIRA DE OLIVEIRA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80"/>
    <n v="26780"/>
    <n v="2650"/>
    <n v="2650"/>
    <n v="0"/>
    <n v="0"/>
    <m/>
    <m/>
    <x v="23"/>
    <n v="465"/>
    <s v="BWT"/>
    <x v="40"/>
  </r>
  <r>
    <s v="41260425102812000179570030000008601651857047"/>
    <s v="BWT ARAUCARIA - ARAUCARIA"/>
    <s v="08/04/2026"/>
    <s v="860"/>
    <s v="303807"/>
    <s v="SEE0I16 - TLA5E54 - TIV7C08"/>
    <s v="LEANDRO CESAR VIEIRA DE OLIVEIRA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810"/>
    <n v="26810"/>
    <n v="2650"/>
    <n v="2650"/>
    <n v="0"/>
    <n v="0"/>
    <m/>
    <m/>
    <x v="23"/>
    <n v="465"/>
    <s v="BWT"/>
    <x v="40"/>
  </r>
  <r>
    <s v="41260425102812000179570030000008611794628197"/>
    <s v="BWT ARAUCARIA - ARAUCARIA"/>
    <s v="08/04/2026"/>
    <s v="861"/>
    <s v="303806"/>
    <s v="TLA1D72 - TIT0I53 - BEZ9A98"/>
    <s v="ISACC SANTOS GUEDES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10"/>
    <n v="26710"/>
    <n v="2650"/>
    <n v="2650"/>
    <n v="0"/>
    <n v="0"/>
    <m/>
    <m/>
    <x v="23"/>
    <n v="465"/>
    <s v="BWT"/>
    <x v="54"/>
  </r>
  <r>
    <s v="41260425102812000179570030000008621017765325"/>
    <s v="BWT ARAUCARIA - ARAUCARIA"/>
    <s v="08/04/2026"/>
    <s v="862"/>
    <s v="303808"/>
    <s v="TLA1D72 - TIT0I53 - BEZ9A98"/>
    <s v="ISACC SANTOS GUEDES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50"/>
    <n v="26750"/>
    <n v="2650"/>
    <n v="2650"/>
    <n v="0"/>
    <n v="0"/>
    <m/>
    <m/>
    <x v="23"/>
    <n v="465"/>
    <s v="BWT"/>
    <x v="54"/>
  </r>
  <r>
    <s v="43260325102812000250570030000002151632698637"/>
    <s v="BWT TRANSPORTE E LOGISTICA S. A - ESTEIO"/>
    <s v="08/04/2026"/>
    <s v="261"/>
    <m/>
    <s v="BDV9E57 - BDV9E56 - SEE0I05"/>
    <s v="RODRIGO DOS SANTOS ALVES"/>
    <m/>
    <s v="RS"/>
    <m/>
    <s v="SP"/>
    <s v="IPIRANGA PRODUTOS DE PETROLEO S/A"/>
    <s v="BE8 S.A."/>
    <s v="BE8 S.A."/>
    <s v="IPIRANGA PRODUTOS DE PETROLEO S/A"/>
    <s v="IPIRANGA PRODUTOS DE PETROLEO S/A"/>
    <m/>
    <m/>
    <m/>
    <n v="1270.49"/>
    <n v="1270.49"/>
    <n v="0"/>
    <n v="0"/>
    <n v="0.12"/>
    <n v="1270.49"/>
    <x v="21"/>
    <s v="0"/>
    <s v="BWT"/>
    <x v="34"/>
  </r>
  <r>
    <s v="43260425102812000250570030000002601834215784"/>
    <s v="BWT TRANSPORTE E LOGISTICA S. A - ESTEIO"/>
    <s v="08/04/2026"/>
    <s v="260"/>
    <s v="86836"/>
    <s v="JCV2H63 - TAW8B89 - JCV2H01"/>
    <s v="AMAURI DOS SANTOS PEREIRA"/>
    <s v="CAMARGO"/>
    <s v="RS"/>
    <s v="BARUERI"/>
    <s v="SP"/>
    <s v="VIBRA ENERGIA S.A - FILIAL 63"/>
    <s v="FUGA S.A"/>
    <s v="FUGA S.A"/>
    <s v="VIBRA ENERGIA S.A - FILIAL 63"/>
    <s v="VIBRA ENERGIA S.A - FILIAL 63"/>
    <s v="Biodiesel - B100"/>
    <n v="59724"/>
    <n v="52300"/>
    <n v="20234.490000000002"/>
    <n v="17806.349999999999"/>
    <n v="0"/>
    <n v="2428.14"/>
    <n v="0.12"/>
    <n v="20234.490000000002"/>
    <x v="29"/>
    <n v="1000"/>
    <s v="BWT"/>
    <x v="4"/>
  </r>
  <r>
    <s v="43260425102812000250570030000002621932283410"/>
    <s v="BWT TRANSPORTE E LOGISTICA S. A - ESTEIO"/>
    <s v="08/04/2026"/>
    <s v="262"/>
    <s v="101236"/>
    <s v="BAH3I06 - BDQ4E23 - BAH3I07"/>
    <s v="DANIEL ANTONIO DOS SANTOS JUNIOR"/>
    <s v="IJUI"/>
    <s v="RS"/>
    <s v="CHAPECO"/>
    <s v="SC"/>
    <s v="IPIRANGA PRODUTOS DE PETROLEO S.A."/>
    <s v="TRES TENTOS AGROINDUSTRIAL S/A"/>
    <s v="TRES TENTOS AGROINDUSTRIAL S/A"/>
    <s v="IPIRANGA PRODUTOS DE PETROLEO S.A."/>
    <s v="IPIRANGA PRODUTOS DE PETROLEO S.A."/>
    <s v="Biodiesel - B100"/>
    <n v="57780"/>
    <n v="50900"/>
    <n v="5252.73"/>
    <n v="4622.3999999999996"/>
    <n v="0"/>
    <n v="630.33000000000004"/>
    <n v="0.12"/>
    <n v="5252.73"/>
    <x v="9"/>
    <n v="279"/>
    <s v="BWT"/>
    <x v="33"/>
  </r>
  <r>
    <s v="43260425102812000250570030000002631589392943"/>
    <s v="BWT TRANSPORTE E LOGISTICA S. A - ESTEIO"/>
    <s v="08/04/2026"/>
    <s v="263"/>
    <s v="86866"/>
    <s v="JAS1A99 - JAS0J82 - SFA7G28"/>
    <s v="CLAYTON NUNES DO NASCIMENTO"/>
    <s v="CAMARGO"/>
    <s v="RS"/>
    <s v="PAULINIA"/>
    <s v="SP"/>
    <s v="ROYAL FIC DISTRIBUIDORA DE DERIVADO PETROLEO S"/>
    <s v="FUGA S.A"/>
    <s v="FUGA S.A"/>
    <s v="ROYAL FIC DISTRIBUIDORA DE DERIVADO PETROLEO S"/>
    <s v="ROYAL FIC DISTRIBUIDORA DE DERIVADO PETROLEO S"/>
    <s v="Biodiesel - B100"/>
    <n v="59682"/>
    <n v="52240"/>
    <n v="15517.32"/>
    <n v="12584.87"/>
    <n v="1070.3699999999999"/>
    <n v="1862.08"/>
    <n v="0.12"/>
    <n v="15517.32"/>
    <x v="30"/>
    <n v="1094"/>
    <s v="BWT"/>
    <x v="5"/>
  </r>
  <r>
    <s v="50260325102812000683570030000000051502799154"/>
    <s v="BWT TRANSPORTE E LOGISTICA S. A - NOVA ANDRADINA"/>
    <s v="08/04/2026"/>
    <s v="8"/>
    <m/>
    <s v="AYP3139 - SEX2C73 - AYP3138"/>
    <s v="ANDRIELIA APARECIDA GOMES"/>
    <m/>
    <s v="MS"/>
    <m/>
    <s v="SC"/>
    <s v="IPIRANGA PRODUTOS DE PETROLEO S.A"/>
    <s v="ADECOAGRO VALE DO IVINHEMA S.A"/>
    <s v="ADECOAGRO VALE DO IVINHEMA S.A"/>
    <s v="IPIRANGA PRODUTOS DE PETROLEO S.A"/>
    <s v="IPIRANGA PRODUTOS DE PETROLEO S.A"/>
    <m/>
    <m/>
    <m/>
    <n v="93.55"/>
    <n v="93.55"/>
    <n v="0"/>
    <n v="0"/>
    <n v="0.12"/>
    <n v="93.55"/>
    <x v="21"/>
    <s v="0"/>
    <s v="BWT"/>
    <x v="13"/>
  </r>
  <r>
    <s v="35260425102812000500570030000002901658484232"/>
    <s v="BWT TRANSPORTE E LOGISTICA S. A - PAULINIA"/>
    <s v="09/04/2026"/>
    <s v="290"/>
    <s v="30876"/>
    <s v="JCM1E27 - SFC5F45"/>
    <s v="EMERSON MENON CUNHA"/>
    <s v="SANTOS"/>
    <s v="SP"/>
    <s v="PAULINIA"/>
    <s v="SP"/>
    <s v="IPIRANGA PRODUTOS DE PETROLEO S.A."/>
    <s v="IPIRANGA PRODUTOS DE PETROLEO S.A."/>
    <s v="AGEO NORTE TERMINAIS E ARMAZENS GER A"/>
    <s v="IPIRANGA PRODUTOS DE PETROLEO S/A"/>
    <s v="IPIRANGA PRODUTOS DE PETROLEO S/A"/>
    <s v="Diesel S10 A"/>
    <n v="44878"/>
    <n v="37190"/>
    <n v="2360.17"/>
    <n v="2076.9499999999998"/>
    <n v="0"/>
    <n v="283.22000000000003"/>
    <n v="0.12"/>
    <n v="2360.17"/>
    <x v="5"/>
    <n v="215"/>
    <s v="BWT"/>
    <x v="35"/>
  </r>
  <r>
    <s v="35260425102812000500570030000002911150554795"/>
    <s v="BWT TRANSPORTE E LOGISTICA S. A - PAULINIA"/>
    <s v="09/04/2026"/>
    <s v="291"/>
    <s v="30939"/>
    <s v="BDU5F20 - BDU5F25 - SEY8B43"/>
    <s v="JOAQUIM RAIMUNDO PORTES JUNIOR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59405"/>
    <n v="41578"/>
    <n v="3149.82"/>
    <n v="2771.84"/>
    <n v="0"/>
    <n v="377.98"/>
    <n v="0.12"/>
    <n v="3149.82"/>
    <x v="5"/>
    <n v="215"/>
    <s v="BWT"/>
    <x v="1"/>
  </r>
  <r>
    <s v="35260425102812000500570030000002921016100235"/>
    <s v="BWT TRANSPORTE E LOGISTICA S. A - PAULINIA"/>
    <s v="09/04/2026"/>
    <s v="292"/>
    <s v="30970"/>
    <s v="SEE2J86 - JBU5G53 - JBU5H02"/>
    <s v="SAMUEL CRUZ TORRES DE BRITO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59322"/>
    <n v="41519"/>
    <n v="3150.14"/>
    <n v="2772.12"/>
    <n v="0"/>
    <n v="378.02"/>
    <n v="0.12"/>
    <n v="3150.14"/>
    <x v="5"/>
    <n v="215"/>
    <s v="BWT"/>
    <x v="32"/>
  </r>
  <r>
    <s v="41260425102812000179570030000008631482754906"/>
    <s v="BWT ARAUCARIA - ARAUCARIA"/>
    <s v="09/04/2026"/>
    <s v="863"/>
    <s v="1096934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294"/>
    <n v="58354"/>
    <n v="3932.79"/>
    <n v="3932.79"/>
    <n v="0"/>
    <n v="0"/>
    <m/>
    <m/>
    <x v="2"/>
    <n v="153"/>
    <s v="BWT"/>
    <x v="2"/>
  </r>
  <r>
    <s v="41260425102812000179570030000008641962663480"/>
    <s v="BWT ARAUCARIA - ARAUCARIA"/>
    <s v="09/04/2026"/>
    <s v="864"/>
    <s v="1096974"/>
    <s v="BBM5I48"/>
    <s v="FERNANDO JOSE CARVALH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041"/>
    <n v="58301"/>
    <n v="3906.81"/>
    <n v="3906.81"/>
    <n v="0"/>
    <n v="0"/>
    <m/>
    <m/>
    <x v="2"/>
    <n v="153"/>
    <s v="BWT"/>
    <x v="19"/>
  </r>
  <r>
    <s v="41260425102812000179570030000008661600755194"/>
    <s v="BWT ARAUCARIA - ARAUCARIA"/>
    <s v="09/04/2026"/>
    <s v="866"/>
    <s v="1097014"/>
    <s v="BDQ4E39"/>
    <s v="WERNER DUCK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8180"/>
    <n v="73860"/>
    <n v="4415.7"/>
    <n v="4415.7"/>
    <n v="0"/>
    <n v="0"/>
    <m/>
    <m/>
    <x v="2"/>
    <n v="153"/>
    <s v="BWT"/>
    <x v="18"/>
  </r>
  <r>
    <s v="41260425102812000179570030000008671816796660"/>
    <s v="BWT ARAUCARIA - ARAUCARIA"/>
    <s v="09/04/2026"/>
    <s v="867"/>
    <s v="1097084"/>
    <s v="BDQ4E32"/>
    <s v="VERONICA FRIGHETTO"/>
    <s v="PARANAGUA"/>
    <s v="PR"/>
    <s v="IJUI"/>
    <s v="RS"/>
    <s v="CAMERA AGROALIMENTOS S A"/>
    <s v="CATTALINI TERMINAIS MARITIMOS S/A"/>
    <s v="CATTALINI TERMINAIS MARITIMOS S/A"/>
    <s v="CAMERA AGROALIMENTOS S A"/>
    <s v="CAMERA AGROALIMENTOS S A"/>
    <s v="METANOL - ONU 1230"/>
    <n v="48250"/>
    <n v="73850"/>
    <n v="10808"/>
    <n v="9223.5400000000009"/>
    <n v="326.7"/>
    <n v="1257.76"/>
    <n v="0.12"/>
    <n v="10481.299999999999"/>
    <x v="1"/>
    <n v="800"/>
    <s v="BWT"/>
    <x v="41"/>
  </r>
  <r>
    <s v="41260425102812000179570030000008681214647310"/>
    <s v="BWT ARAUCARIA - ARAUCARIA"/>
    <s v="09/04/2026"/>
    <s v="868"/>
    <s v="1097150"/>
    <s v="BBL9D24"/>
    <s v="ANTONIO MARCOS GONCALVES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3097"/>
    <n v="51497"/>
    <n v="3399.06"/>
    <n v="3399.06"/>
    <n v="0"/>
    <n v="0"/>
    <m/>
    <m/>
    <x v="2"/>
    <n v="153"/>
    <s v="BWT"/>
    <x v="51"/>
  </r>
  <r>
    <s v="41260425102812000179570030000008691272193383"/>
    <s v="BWT ARAUCARIA - ARAUCARIA"/>
    <s v="09/04/2026"/>
    <s v="869"/>
    <s v="328007"/>
    <s v="SEE3G48 - JBT6B10 - JBT6B27"/>
    <s v="RAFAEL SOUZA MIRANDA"/>
    <s v="SAO CARLOS DO IVAI"/>
    <s v="PR"/>
    <s v="ITAJAI"/>
    <s v="SC"/>
    <s v="IPIRANGA PRODUTOS DE PETROLEO S.A"/>
    <s v="COOPERATIVA AGRICOLA REGIONAL DE PR RES DE CAN"/>
    <s v="COOPERATIVA AGRICOLA REGIONAL DE PR RES DE CAN"/>
    <s v="IPIRANGA PRODUTOS DE PETROLEO S.A"/>
    <s v="IPIRANGA PRODUTOS DE PETROLEO S.A"/>
    <s v="Etanol Anidro"/>
    <n v="59574"/>
    <n v="47000"/>
    <n v="10134.35"/>
    <n v="8918.23"/>
    <n v="0"/>
    <n v="1216.1199999999999"/>
    <n v="0.12"/>
    <n v="10134.35"/>
    <x v="27"/>
    <n v="711"/>
    <s v="BWT"/>
    <x v="9"/>
  </r>
  <r>
    <s v="41260425102812000179570030000008701651822495"/>
    <s v="BWT ARAUCARIA - ARAUCARIA"/>
    <s v="09/04/2026"/>
    <s v="870"/>
    <s v="303877"/>
    <s v="SEC1A91 - SEC1A89 - SDY1G87"/>
    <s v="ISAAC DA SILVA MENDES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60"/>
    <n v="26760"/>
    <n v="2650"/>
    <n v="2650"/>
    <n v="0"/>
    <n v="0"/>
    <m/>
    <m/>
    <x v="23"/>
    <n v="465"/>
    <s v="SUBCONTRATADO"/>
    <x v="6"/>
  </r>
  <r>
    <s v="41260425102812000179570030000008711570876690"/>
    <s v="BWT ARAUCARIA - ARAUCARIA"/>
    <s v="09/04/2026"/>
    <s v="871"/>
    <s v="303886"/>
    <s v="SEC1A91 - SEC1A89 - SDY1G87"/>
    <s v="ISAAC DA SILVA MENDES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840"/>
    <n v="26840"/>
    <n v="2650"/>
    <n v="2650"/>
    <n v="0"/>
    <n v="0"/>
    <m/>
    <m/>
    <x v="23"/>
    <n v="465"/>
    <s v="SUBCONTRATADO"/>
    <x v="6"/>
  </r>
  <r>
    <s v="41260425102812000179570030000008721971031230"/>
    <s v="BWT ARAUCARIA - ARAUCARIA"/>
    <s v="09/04/2026"/>
    <s v="872"/>
    <s v="2750 - 2749"/>
    <s v="TLA1D72 - TIT0I53 - BEZ9A98"/>
    <s v="ISACC SANTOS GUEDES"/>
    <s v="PARANAGUA"/>
    <s v="PR"/>
    <s v="MAFRA"/>
    <s v="SC"/>
    <s v="BWI TRADING COMERCIAL IMPORTADORA E RTADORA LTDA"/>
    <s v="BWI TRADING COMERCIAL IMPORTADORA E RTADORA LTDA"/>
    <s v="CPA TERMINAL PARANAGUA S.A"/>
    <s v="SEARA ALIMENTOS LTDA"/>
    <s v="SEARA ALIMENTOS LTDA"/>
    <s v="METILATO DE SODIO 30%"/>
    <n v="44860"/>
    <n v="44860"/>
    <n v="6540.1"/>
    <n v="5427.4"/>
    <n v="372.6"/>
    <n v="740.1"/>
    <n v="0.12"/>
    <n v="6167.5"/>
    <x v="12"/>
    <n v="195"/>
    <s v="BWT"/>
    <x v="54"/>
  </r>
  <r>
    <s v="41260425102812000179570030000008731572384250"/>
    <s v="BWT ARAUCARIA - ARAUCARIA"/>
    <s v="09/04/2026"/>
    <s v="873"/>
    <s v="1097239"/>
    <s v="JCI5E48 - AWZ2403"/>
    <s v="JOAO GABRIEL DA CRUZ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940"/>
    <n v="58320"/>
    <n v="3999.14"/>
    <n v="3999.14"/>
    <n v="0"/>
    <n v="0"/>
    <m/>
    <m/>
    <x v="2"/>
    <n v="153"/>
    <s v="BWT"/>
    <x v="8"/>
  </r>
  <r>
    <s v="42260425102812000330570030000000301863627088"/>
    <s v="BWT TRANSPORTE E LOGISTICA S. A - ITAJAI"/>
    <s v="09/04/2026"/>
    <s v="30"/>
    <s v="412092"/>
    <s v="JAO3A97 - SFC5F71 - JAO3A88"/>
    <s v="RENATO GASPARELLO"/>
    <s v="JOACABA"/>
    <s v="SC"/>
    <s v="SAO JOSE DOS CAMPOS"/>
    <s v="SP"/>
    <s v="VIBRA ENERGIA SA"/>
    <s v="ADM DO BRASIL LTDA"/>
    <s v="ADM DO BRASIL LTDA"/>
    <s v="VIBRA ENERGIA SA"/>
    <s v="VIBRA ENERGIA SA"/>
    <s v="Biodiesel - B100"/>
    <n v="59591"/>
    <n v="52260"/>
    <n v="18531.61"/>
    <n v="16307.82"/>
    <n v="0"/>
    <n v="2223.79"/>
    <n v="0.12"/>
    <n v="18531.61"/>
    <x v="31"/>
    <n v="896"/>
    <s v="BWT"/>
    <x v="21"/>
  </r>
  <r>
    <s v="43260425102812000250570030000002641401809997"/>
    <s v="BWT TRANSPORTE E LOGISTICA S. A - ESTEIO"/>
    <s v="09/04/2026"/>
    <s v="264"/>
    <s v="1094478 - 1094480"/>
    <s v="BBM8G18 - RHH5C92 - BBM8G17"/>
    <s v="CLAUDEMIR SOARES"/>
    <s v="PASSO FUNDO"/>
    <s v="RS"/>
    <s v="BAURU"/>
    <s v="SP"/>
    <s v="IPIRANGA PRODUTOS DE PETROLEO S/A"/>
    <s v="BE8 S.A."/>
    <s v="BE8 S.A."/>
    <s v="IPIRANGA PRODUTOS DE PETROLEO S/A"/>
    <s v="IPIRANGA PRODUTOS DE PETROLEO S/A"/>
    <s v="Biodiesel - B100"/>
    <n v="56718"/>
    <n v="75860"/>
    <n v="14575.89"/>
    <n v="12826.78"/>
    <n v="0"/>
    <n v="1749.11"/>
    <n v="0.12"/>
    <n v="14575.89"/>
    <x v="32"/>
    <n v="933"/>
    <s v="BWT"/>
    <x v="49"/>
  </r>
  <r>
    <s v="43260425102812000250570030000002651960293477"/>
    <s v="BWT TRANSPORTE E LOGISTICA S. A - ESTEIO"/>
    <s v="09/04/2026"/>
    <s v="265"/>
    <s v="230632"/>
    <s v="TAW2A61 - JCW7D87 - JCW7C11"/>
    <s v="ALCIONE DE CASTRO"/>
    <s v="IJUI"/>
    <s v="RS"/>
    <s v="SAO PAULO"/>
    <s v="SP"/>
    <s v="VIBRA ENERGIA S.A - FILIAL 58"/>
    <s v="CAMERA AGROALIMENTOS S A"/>
    <s v="CAMERA AGROALIMENTOS S A"/>
    <s v="VIBRA ENERGIA S.A - FILIAL 58"/>
    <s v="VIBRA ENERGIA S.A - FILIAL 58"/>
    <s v="Biodiesel - B100"/>
    <n v="59544"/>
    <n v="78040"/>
    <n v="20840.400000000001"/>
    <n v="18339.55"/>
    <n v="0"/>
    <n v="2500.85"/>
    <n v="0.12"/>
    <n v="20840.400000000001"/>
    <x v="33"/>
    <n v="1124"/>
    <s v="BWT"/>
    <x v="20"/>
  </r>
  <r>
    <s v="43260425102812000250570030000002661707438010"/>
    <s v="BWT TRANSPORTE E LOGISTICA S. A - ESTEIO"/>
    <s v="09/04/2026"/>
    <s v="266"/>
    <s v="39367 - 39368"/>
    <s v="BDQ4E53"/>
    <s v="LAUDEMAR JOSE ALVES DOS SANTOS"/>
    <s v="MUITOS CAPOES"/>
    <s v="RS"/>
    <s v="PAULINIA"/>
    <s v="SP"/>
    <s v="RUFF CJ DISTRIBUIDORA DE PETROLEO L"/>
    <s v="BOCCHI INDUSTRIA E COMERCIO DE CERE TDA"/>
    <s v="BOCCHI INDUSTRIA E COMERCIO DE CERE TDA"/>
    <s v="RUFF CJ DISTRIBUIDORA DE PETROLEO L"/>
    <s v="RUFF CJ DISTRIBUIDORA DE PETROLEO L"/>
    <s v="Biodiesel - B100"/>
    <n v="56676"/>
    <n v="75130"/>
    <n v="14968.38"/>
    <n v="13172.17"/>
    <n v="0"/>
    <n v="1796.21"/>
    <n v="0.12"/>
    <n v="14968.38"/>
    <x v="34"/>
    <n v="1002"/>
    <s v="BWT"/>
    <x v="52"/>
  </r>
  <r>
    <s v="43260425102812000250570030000002671797641984"/>
    <s v="BWT TRANSPORTE E LOGISTICA S. A - ESTEIO"/>
    <s v="09/04/2026"/>
    <s v="267"/>
    <s v="230641"/>
    <s v="SEE0I38 - JBW6D87 - JBW6D88"/>
    <s v="FELIPE NUNES"/>
    <s v="IJUI"/>
    <s v="RS"/>
    <s v="SAO PAULO"/>
    <s v="SP"/>
    <s v="VIBRA ENERGIA S.A - FILIAL 58"/>
    <s v="CAMERA AGROALIMENTOS S A"/>
    <s v="CAMERA AGROALIMENTOS S A"/>
    <s v="VIBRA ENERGIA S.A - FILIAL 58"/>
    <s v="VIBRA ENERGIA S.A - FILIAL 58"/>
    <s v="Biodiesel - B100"/>
    <n v="59526"/>
    <n v="77920"/>
    <n v="20834.099999999999"/>
    <n v="18334.009999999998"/>
    <n v="0"/>
    <n v="2500.09"/>
    <n v="0.12"/>
    <n v="20834.099999999999"/>
    <x v="33"/>
    <n v="1124"/>
    <s v="BWT"/>
    <x v="0"/>
  </r>
  <r>
    <s v="35260425102812000500570030000002931953008464"/>
    <s v="BWT TRANSPORTE E LOGISTICA S. A - PAULINIA"/>
    <s v="10/04/2026"/>
    <s v="293"/>
    <s v="30986"/>
    <s v="TAW2A65 - JCW7C28 - JCX7F21"/>
    <s v="JOSE ARIMATEIA DA SILVA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0336"/>
    <n v="43430"/>
    <n v="3149.82"/>
    <n v="2771.84"/>
    <n v="0"/>
    <n v="377.98"/>
    <n v="0.12"/>
    <n v="3149.82"/>
    <x v="5"/>
    <n v="215"/>
    <s v="BWT"/>
    <x v="57"/>
  </r>
  <r>
    <s v="35260425102812000500570030000002941438307314"/>
    <s v="BWT TRANSPORTE E LOGISTICA S. A - PAULINIA"/>
    <s v="10/04/2026"/>
    <s v="294"/>
    <s v="30987"/>
    <s v="JBT9E33 - SEE2J92 - JBT9E30"/>
    <s v="SILAS DE LIMA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59308"/>
    <n v="42690"/>
    <n v="3150.07"/>
    <n v="2772.06"/>
    <n v="0"/>
    <n v="378.01"/>
    <n v="0.12"/>
    <n v="3150.07"/>
    <x v="5"/>
    <n v="215"/>
    <s v="BWT"/>
    <x v="11"/>
  </r>
  <r>
    <s v="35260425102812000500570030000002961752881391"/>
    <s v="BWT TRANSPORTE E LOGISTICA S. A - PAULINIA"/>
    <s v="10/04/2026"/>
    <s v="296"/>
    <s v="30988"/>
    <s v="AYP3139 - SEX2C73 - AYP3138"/>
    <s v="MARIOVANY QUIRINO GOMES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1323"/>
    <n v="44140"/>
    <n v="3149.77"/>
    <n v="2771.8"/>
    <n v="0"/>
    <n v="377.97"/>
    <n v="0.12"/>
    <n v="3149.77"/>
    <x v="5"/>
    <n v="215"/>
    <s v="BWT"/>
    <x v="13"/>
  </r>
  <r>
    <s v="35260425102812000500570030000002971203693151"/>
    <s v="BWT TRANSPORTE E LOGISTICA S. A - PAULINIA"/>
    <s v="10/04/2026"/>
    <s v="297"/>
    <s v="201341"/>
    <s v="RHG5D74 - JAO8A83 - JAO8A77"/>
    <s v="CLAUDINIR RODRIGUES GARCIA"/>
    <s v="NARANDIBA"/>
    <s v="SP"/>
    <s v="CANOAS"/>
    <s v="RS"/>
    <s v="IPIRANGA PRODUTOS DE PETROLEO S/A"/>
    <s v="COOPERATIVA DE PRODUTORES DE CANA-D CAR, ACUCA"/>
    <s v="COOPERATIVA DE PRODUTORES DE CANA-D CAR, ACUCA"/>
    <s v="IPIRANGA PRODUTOS DE PETROLEO S/A"/>
    <s v="IPIRANGA PRODUTOS DE PETROLEO S/A"/>
    <s v="Etanol Anidro"/>
    <n v="59399"/>
    <n v="46930"/>
    <n v="16617.55"/>
    <n v="14623.44"/>
    <n v="0"/>
    <n v="1994.11"/>
    <n v="0.12"/>
    <n v="16617.55"/>
    <x v="35"/>
    <n v="1253"/>
    <s v="BWT"/>
    <x v="24"/>
  </r>
  <r>
    <s v="35260425102812000500570030000002981621211915"/>
    <s v="BWT TRANSPORTE E LOGISTICA S. A - PAULINIA"/>
    <s v="10/04/2026"/>
    <s v="298"/>
    <s v="31089"/>
    <s v="JCW7D75 - JCX7F40 - TAW8C09"/>
    <s v="CLAIR SONAI"/>
    <s v="SANTOS"/>
    <s v="SP"/>
    <s v="PRESIDENTE PRUDENTE"/>
    <s v="SP"/>
    <s v="IPIRANGA PRODUTOS DE PETROLEO S.A."/>
    <s v="ULTRACARGO LOGISTICA S.A"/>
    <s v="IPIRANGA PRODUTOS DE PETROLEO S.A."/>
    <s v="IPIRANGA PRODUTOS DE PETROLEO S/A"/>
    <s v="IPIRANGA PRODUTOS DE PETROLEO S/A"/>
    <s v="Diesel S500 A"/>
    <n v="59652"/>
    <n v="49380"/>
    <n v="12201.55"/>
    <n v="10737.36"/>
    <n v="0"/>
    <n v="1464.19"/>
    <n v="0.12"/>
    <n v="12201.55"/>
    <x v="36"/>
    <n v="641"/>
    <s v="BWT"/>
    <x v="12"/>
  </r>
  <r>
    <s v="41260425102812000179570030000008741734173841"/>
    <s v="BWT ARAUCARIA - ARAUCARIA"/>
    <s v="10/04/2026"/>
    <s v="874"/>
    <s v="1097313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7880"/>
    <n v="58320"/>
    <n v="3890.28"/>
    <n v="3890.28"/>
    <n v="0"/>
    <n v="0"/>
    <m/>
    <m/>
    <x v="2"/>
    <n v="153"/>
    <s v="BWT"/>
    <x v="2"/>
  </r>
  <r>
    <s v="41260425102812000179570030000008751497110563"/>
    <s v="BWT ARAUCARIA - ARAUCARIA"/>
    <s v="10/04/2026"/>
    <s v="875"/>
    <s v="17428"/>
    <s v="TAW8B80 - JCV2H32 - JCV8B29"/>
    <s v="LAURO LORETO TEIXEIRA"/>
    <s v="PARANAGUA"/>
    <s v="PR"/>
    <s v="MUITOS CAPOES"/>
    <s v="RS"/>
    <s v="BOCCHI INDUSTRIA E COMERCIO DE CERE TDA"/>
    <s v="HELM DO BRASIL MERCANTIL LTDA"/>
    <s v="CATTALINI TERMINAIS MARITIMOS S/A"/>
    <s v="BOCCHI INDUSTRIA E COMERCIO DE CERE TDA"/>
    <s v="BOCCHI INDUSTRIA E COMERCIO DE CERE TDA"/>
    <s v="METANOL - ONU 1230"/>
    <n v="48302"/>
    <n v="48302"/>
    <n v="10384.93"/>
    <n v="8604.14"/>
    <n v="607.5"/>
    <n v="1173.29"/>
    <n v="0.12"/>
    <n v="9777.43"/>
    <x v="8"/>
    <n v="581"/>
    <s v="BWT"/>
    <x v="42"/>
  </r>
  <r>
    <s v="41260425102812000179570030000008761950291460"/>
    <s v="BWT ARAUCARIA - ARAUCARIA"/>
    <s v="10/04/2026"/>
    <s v="876"/>
    <s v="1097391"/>
    <s v="BDQ4E39"/>
    <s v="WERNER DUCK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8220"/>
    <n v="73720"/>
    <n v="4419.3599999999997"/>
    <n v="4419.3599999999997"/>
    <n v="0"/>
    <n v="0"/>
    <m/>
    <m/>
    <x v="2"/>
    <n v="153"/>
    <s v="BWT"/>
    <x v="18"/>
  </r>
  <r>
    <s v="41260425102812000179570030000008771687127984"/>
    <s v="BWT ARAUCARIA - ARAUCARIA"/>
    <s v="10/04/2026"/>
    <s v="877"/>
    <s v="1097405"/>
    <s v="BBM5I48"/>
    <s v="FERNANDO JOSE CARVALH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240"/>
    <n v="58320"/>
    <n v="3927.25"/>
    <n v="3927.25"/>
    <n v="0"/>
    <n v="0"/>
    <m/>
    <m/>
    <x v="2"/>
    <n v="153"/>
    <s v="BWT"/>
    <x v="19"/>
  </r>
  <r>
    <s v="41260425102812000179570030000008781521561916"/>
    <s v="BWT ARAUCARIA - ARAUCARIA"/>
    <s v="10/04/2026"/>
    <s v="878"/>
    <s v="303918"/>
    <s v="SST4A84 - RHG5D75 - SWD0J05"/>
    <s v="DANIEL EUFRAZIO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70"/>
    <n v="26770"/>
    <n v="2650"/>
    <n v="2650"/>
    <n v="0"/>
    <n v="0"/>
    <m/>
    <m/>
    <x v="23"/>
    <n v="465"/>
    <s v="BWT"/>
    <x v="53"/>
  </r>
  <r>
    <s v="41260425102812000179570030000008791720667282"/>
    <s v="BWT ARAUCARIA - ARAUCARIA"/>
    <s v="10/04/2026"/>
    <s v="879"/>
    <s v="17442"/>
    <s v="SFF3I83 - JCO8H43 - JCO8H36"/>
    <s v="JOSE CLAUDIO DA CRUZ"/>
    <s v="PARANAGUA"/>
    <s v="PR"/>
    <s v="MUITOS CAPOES"/>
    <s v="RS"/>
    <s v="BOCCHI INDUSTRIA E COMERCIO DE CERE TDA"/>
    <s v="HELM DO BRASIL MERCANTIL LTDA"/>
    <s v="CATTALINI TERMINAIS MARITIMOS S/A"/>
    <s v="BOCCHI INDUSTRIA E COMERCIO DE CERE TDA"/>
    <s v="BOCCHI INDUSTRIA E COMERCIO DE CERE TDA"/>
    <s v="METANOL - ONU 1230"/>
    <n v="48347"/>
    <n v="48347"/>
    <n v="10394.6"/>
    <n v="8612.65"/>
    <n v="607.5"/>
    <n v="1174.45"/>
    <n v="0.12"/>
    <n v="9787.1"/>
    <x v="8"/>
    <n v="581"/>
    <s v="BWT"/>
    <x v="23"/>
  </r>
  <r>
    <s v="41260425102812000179570030000008811597063351"/>
    <s v="BWT ARAUCARIA - ARAUCARIA"/>
    <s v="10/04/2026"/>
    <s v="881"/>
    <s v="303926"/>
    <s v="SST4A84 - RHG5D75 - SWD0J05"/>
    <s v="DANIEL EUFRAZIO"/>
    <s v="LAPA"/>
    <s v="PR"/>
    <s v="PARANAGUA"/>
    <s v="PR"/>
    <s v="POTENCIAL AGRO S/A - MATRIZ"/>
    <s v="POTENCIAL AGRO S/A - MATRIZ"/>
    <s v="POTENCIAL AGRO S/A - MATRIZ"/>
    <s v="TCP - TERMINAL DE CONTEINERES DE PA"/>
    <s v="TCP - TERMINAL DE CONTEINERES DE PA"/>
    <s v="GLICERINA REFINADA"/>
    <n v="26760"/>
    <n v="26760"/>
    <n v="2650"/>
    <n v="2650"/>
    <n v="0"/>
    <n v="0"/>
    <m/>
    <m/>
    <x v="23"/>
    <n v="465"/>
    <s v="BWT"/>
    <x v="53"/>
  </r>
  <r>
    <s v="41260425102812000179570030000008821003898827"/>
    <s v="BWT ARAUCARIA - ARAUCARIA"/>
    <s v="10/04/2026"/>
    <s v="882"/>
    <s v="1097549"/>
    <s v="BBL9D24"/>
    <s v="ANTONIO MARCOS GONCALVES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3093"/>
    <n v="51353"/>
    <n v="3398.65"/>
    <n v="3398.65"/>
    <n v="0"/>
    <n v="0"/>
    <m/>
    <m/>
    <x v="2"/>
    <n v="153"/>
    <s v="BWT"/>
    <x v="51"/>
  </r>
  <r>
    <s v="41260425102812000179570030000008831411153163"/>
    <s v="BWT ARAUCARIA - ARAUCARIA"/>
    <s v="10/04/2026"/>
    <s v="883"/>
    <s v="1097588"/>
    <s v="JCI5E48 - AWZ2403"/>
    <s v="JOAO GABRIEL DA CRUZ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9080"/>
    <n v="58320"/>
    <n v="4013.52"/>
    <n v="4013.52"/>
    <n v="0"/>
    <n v="0"/>
    <m/>
    <m/>
    <x v="2"/>
    <n v="153"/>
    <s v="BWT"/>
    <x v="8"/>
  </r>
  <r>
    <s v="43260425102812000250570030000002681314264630"/>
    <s v="BWT TRANSPORTE E LOGISTICA S. A - ESTEIO"/>
    <s v="10/04/2026"/>
    <s v="268"/>
    <s v="39381"/>
    <s v="JDJ2B32 - JDJ2B43 - TAW8B84"/>
    <s v="EDENIR MALOSTI PEREIRA"/>
    <s v="MUITOS CAPOES"/>
    <s v="RS"/>
    <s v="ARAUCARIA"/>
    <s v="PR"/>
    <s v="ROYAL FIC DISTRIBUIDORA DE DERIVADO OLEO S/A"/>
    <s v="BOCCHI INDUSTRIA E COMERCIO DE CERE TDA"/>
    <s v="BOCCHI INDUSTRIA E COMERCIO DE CERE TDA"/>
    <s v="ROYAL FIC DISTRIBUIDORA DE DERIVADO OLEO S/A"/>
    <s v="ROYAL FIC DISTRIBUIDORA DE DERIVADO OLEO S/A"/>
    <s v="Biodiesel - B100"/>
    <n v="59663"/>
    <n v="52450"/>
    <n v="8352.82"/>
    <n v="6958.98"/>
    <n v="391.5"/>
    <n v="1002.34"/>
    <n v="0.12"/>
    <n v="8352.82"/>
    <x v="11"/>
    <n v="495"/>
    <s v="BWT"/>
    <x v="37"/>
  </r>
  <r>
    <s v="43260425102812000250570030000002691437725021"/>
    <s v="BWT TRANSPORTE E LOGISTICA S. A - ESTEIO"/>
    <s v="10/04/2026"/>
    <s v="269"/>
    <s v="86909"/>
    <s v="TAW8B90 - JDJ6D53 - JDJ6D33"/>
    <s v="DEIZE CRISTINA WEILER"/>
    <s v="CAMARGO"/>
    <s v="RS"/>
    <s v="SAO PAULO"/>
    <s v="SP"/>
    <s v="VIBRA ENERGIA S.A - FILIAL 58"/>
    <s v="FUGA S.A"/>
    <s v="FUGA S.A"/>
    <s v="VIBRA ENERGIA S.A - FILIAL 58"/>
    <s v="VIBRA ENERGIA S.A - FILIAL 58"/>
    <s v="Biodiesel - B100"/>
    <n v="59772"/>
    <n v="52200"/>
    <n v="20627.32"/>
    <n v="18152.04"/>
    <n v="0"/>
    <n v="2475.2800000000002"/>
    <n v="0.12"/>
    <n v="20627.32"/>
    <x v="37"/>
    <n v="1002"/>
    <s v="BWT"/>
    <x v="50"/>
  </r>
  <r>
    <s v="35260425102812000500570030000003001892481684"/>
    <s v="BWT TRANSPORTE E LOGISTICA S. A - PAULINIA"/>
    <s v="11/04/2026"/>
    <s v="300"/>
    <s v="31104"/>
    <s v="SEE0I13 - RYG6E81 - RYG6F31"/>
    <s v="ALAOR BATISTA DE FREITAS"/>
    <s v="SANTOS"/>
    <s v="SP"/>
    <s v="PRESIDENTE PRUDENTE"/>
    <s v="SP"/>
    <s v="IPIRANGA PRODUTOS DE PETROLEO S.A."/>
    <s v="ULTRACARGO LOGISTICA S.A"/>
    <s v="IPIRANGA PRODUTOS DE PETROLEO S.A."/>
    <s v="IPIRANGA PRODUTOS DE PETROLEO S/A"/>
    <s v="IPIRANGA PRODUTOS DE PETROLEO S/A"/>
    <s v="Diesel S500 A"/>
    <n v="59532"/>
    <n v="48989"/>
    <n v="12177"/>
    <n v="10715.76"/>
    <n v="0"/>
    <n v="1461.24"/>
    <n v="0.12"/>
    <n v="12177"/>
    <x v="36"/>
    <n v="641"/>
    <s v="BWT"/>
    <x v="14"/>
  </r>
  <r>
    <s v="35260425102812000500570030000003011359392676"/>
    <s v="BWT TRANSPORTE E LOGISTICA S. A - PAULINIA"/>
    <s v="11/04/2026"/>
    <s v="301"/>
    <s v="31107"/>
    <s v="BDV9E57 - BDV9E56 - SEE0I05"/>
    <s v="RODRIGO DOS SANTOS ALVES"/>
    <s v="SANTOS"/>
    <s v="SP"/>
    <s v="PRESIDENTE PRUDENTE"/>
    <s v="SP"/>
    <s v="IPIRANGA PRODUTOS DE PETROLEO S.A."/>
    <s v="ULTRACARGO LOGISTICA S.A"/>
    <s v="IPIRANGA PRODUTOS DE PETROLEO S.A."/>
    <s v="IPIRANGA PRODUTOS DE PETROLEO S/A"/>
    <s v="IPIRANGA PRODUTOS DE PETROLEO S/A"/>
    <s v="Diesel S500 A"/>
    <n v="59507"/>
    <n v="48992"/>
    <n v="12171.89"/>
    <n v="10711.26"/>
    <n v="0"/>
    <n v="1460.63"/>
    <n v="0.12"/>
    <n v="12171.89"/>
    <x v="36"/>
    <n v="641"/>
    <s v="BWT"/>
    <x v="34"/>
  </r>
  <r>
    <s v="35260425102812000500570030000003021374179837"/>
    <s v="BWT TRANSPORTE E LOGISTICA S. A - PAULINIA"/>
    <s v="11/04/2026"/>
    <s v="302"/>
    <s v="31123"/>
    <s v="BDU5F24 - BDU5F23 - SER6B09"/>
    <s v="RICARDO FERREIRA DOS SANTOS"/>
    <s v="SANTOS"/>
    <s v="SP"/>
    <s v="PRESIDENTE PRUDENTE"/>
    <s v="SP"/>
    <s v="IPIRANGA PRODUTOS DE PETROLEO S.A."/>
    <s v="ULTRACARGO LOGISTICA S.A"/>
    <s v="IPIRANGA PRODUTOS DE PETROLEO S.A."/>
    <s v="IPIRANGA PRODUTOS DE PETROLEO S/A"/>
    <s v="IPIRANGA PRODUTOS DE PETROLEO S/A"/>
    <s v="Diesel S500 A"/>
    <n v="59621"/>
    <n v="49116"/>
    <n v="12195.2"/>
    <n v="10731.78"/>
    <n v="0"/>
    <n v="1463.42"/>
    <n v="0.12"/>
    <n v="12195.2"/>
    <x v="36"/>
    <n v="641"/>
    <s v="BWT"/>
    <x v="47"/>
  </r>
  <r>
    <s v="35260425102812000500570030000003031410219780"/>
    <s v="BWT TRANSPORTE E LOGISTICA S. A - PAULINIA"/>
    <s v="11/04/2026"/>
    <s v="303"/>
    <s v="117732"/>
    <s v="TAW8B87 - JDJ0B76 - JDJ0B57"/>
    <s v="VITOR RAFAEL PEDROZO"/>
    <s v="NOVA INDEPENDENCIA"/>
    <s v="SP"/>
    <s v="ARAUCARIA"/>
    <s v="PR"/>
    <s v="IPIRANGA PRODUTOS DE PETROLEO S/A"/>
    <s v="Cooperativa Prod de Cana-de-AA A ca A A car e"/>
    <s v="Cooperativa Prod de Cana-de-AA A ca A A car e"/>
    <s v="IPIRANGA PRODUTOS DE PETROLEO S/A"/>
    <s v="IPIRANGA PRODUTOS DE PETROLEO S/A"/>
    <s v="Etanol Anidro"/>
    <n v="59508"/>
    <n v="46900"/>
    <n v="10017.64"/>
    <n v="8815.52"/>
    <n v="0"/>
    <n v="1202.1199999999999"/>
    <n v="0.12"/>
    <n v="10017.64"/>
    <x v="0"/>
    <n v="689"/>
    <s v="BWT"/>
    <x v="43"/>
  </r>
  <r>
    <s v="35260425102812000500570030000003041734881893"/>
    <s v="BWT TRANSPORTE E LOGISTICA S. A - PAULINIA"/>
    <s v="11/04/2026"/>
    <s v="304"/>
    <s v="117734"/>
    <s v="BDV9E54 - BDV9E55 - SEY8B40"/>
    <s v="ALEX DE OLIVEIRA RODRIGUES"/>
    <s v="NOVA INDEPENDENCIA"/>
    <s v="SP"/>
    <s v="ARAUCARIA"/>
    <s v="PR"/>
    <s v="IPIRANGA PRODUTOS DE PETROLEO S/A"/>
    <s v="Cooperativa Prod de Cana-de-AA A ca A A car e"/>
    <s v="Cooperativa Prod de Cana-de-AA A ca A A car e"/>
    <s v="IPIRANGA PRODUTOS DE PETROLEO S/A"/>
    <s v="IPIRANGA PRODUTOS DE PETROLEO S/A"/>
    <s v="Etanol Anidro"/>
    <n v="59508"/>
    <n v="46940"/>
    <n v="10017.64"/>
    <n v="8815.52"/>
    <n v="0"/>
    <n v="1202.1199999999999"/>
    <n v="0.12"/>
    <n v="10017.64"/>
    <x v="0"/>
    <n v="689"/>
    <s v="BWT"/>
    <x v="44"/>
  </r>
  <r>
    <s v="35260425102812000500570030000003051823240041"/>
    <s v="BWT TRANSPORTE E LOGISTICA S. A - PAULINIA"/>
    <s v="11/04/2026"/>
    <s v="305"/>
    <s v="279079"/>
    <s v="JBT6B33 - BDQ4E30"/>
    <s v="NEY CESAR WANDERLINDE LEINEKER"/>
    <s v="LUIS ANTONIO"/>
    <s v="SP"/>
    <s v="ARAUCARIA"/>
    <s v="PR"/>
    <s v="IPIRANGA PRODUTOS DE PETROLEO S/A"/>
    <s v="CENTRAL ENERGETICA MORENO ACUCAR E ALCOOL LTDA"/>
    <s v="CENTRAL ENERGETICA MORENO ACUCAR E ALCOOL LTDA"/>
    <s v="IPIRANGA PRODUTOS DE PETROLEO S/A"/>
    <s v="IPIRANGA PRODUTOS DE PETROLEO S/A"/>
    <s v="Etanol Anidro"/>
    <n v="49476"/>
    <n v="59120"/>
    <n v="10864.48"/>
    <n v="9560.74"/>
    <n v="0"/>
    <n v="1303.74"/>
    <n v="0.12"/>
    <n v="10864.48"/>
    <x v="38"/>
    <n v="701"/>
    <s v="BWT"/>
    <x v="15"/>
  </r>
  <r>
    <s v="35260425102812000500570030000003061679417811"/>
    <s v="BWT TRANSPORTE E LOGISTICA S. A - PAULINIA"/>
    <s v="11/04/2026"/>
    <s v="306"/>
    <s v="117739"/>
    <s v="SFC5G04 - JAU3A29 - JAU3A45"/>
    <s v="JONATAN MODESTO"/>
    <s v="NOVA INDEPENDENCIA"/>
    <s v="SP"/>
    <s v="PASSO FUNDO"/>
    <s v="RS"/>
    <s v="IPIRANGA PRODUTOS DE PETROLEO S.A."/>
    <s v="Cooperativa Prod de Cana-de-AA A ca A A car e"/>
    <s v="Cooperativa Prod de Cana-de-AA A ca A A car e"/>
    <s v="IPIRANGA PRODUTOS DE PETROLEO S.A."/>
    <s v="IPIRANGA PRODUTOS DE PETROLEO S.A."/>
    <s v="Etanol Anidro"/>
    <n v="59448"/>
    <n v="46920"/>
    <n v="16227.27"/>
    <n v="14280"/>
    <n v="0"/>
    <n v="1947.27"/>
    <n v="0.12"/>
    <n v="16227.27"/>
    <x v="39"/>
    <n v="1087"/>
    <s v="BWT"/>
    <x v="26"/>
  </r>
  <r>
    <s v="35260425102812000500570030000003071093291540"/>
    <s v="BWT TRANSPORTE E LOGISTICA S. A - PAULINIA"/>
    <s v="11/04/2026"/>
    <s v="307"/>
    <s v="279080"/>
    <s v="JCI7B71 - BAX9A94"/>
    <s v="FRANCISCO ADEMIR MORO JUNIOR"/>
    <s v="LUIS ANTONIO"/>
    <s v="SP"/>
    <s v="ARAUCARIA"/>
    <s v="PR"/>
    <s v="IPIRANGA PRODUTOS DE PETROLEO S/A"/>
    <s v="CENTRAL ENERGETICA MORENO ACUCAR E ALCOOL LTDA"/>
    <s v="CENTRAL ENERGETICA MORENO ACUCAR E ALCOOL LTDA"/>
    <s v="IPIRANGA PRODUTOS DE PETROLEO S/A"/>
    <s v="IPIRANGA PRODUTOS DE PETROLEO S/A"/>
    <s v="Etanol Anidro"/>
    <n v="49450"/>
    <n v="58820"/>
    <n v="10858.77"/>
    <n v="9555.7199999999993"/>
    <n v="0"/>
    <n v="1303.05"/>
    <n v="0.12"/>
    <n v="10858.77"/>
    <x v="38"/>
    <n v="701"/>
    <s v="BWT"/>
    <x v="17"/>
  </r>
  <r>
    <s v="35260425102812000500570030000003081565336892"/>
    <s v="BWT TRANSPORTE E LOGISTICA S. A - PAULINIA"/>
    <s v="11/04/2026"/>
    <s v="308"/>
    <s v="117758"/>
    <s v="JAZ8G73 - JAZ8G81 - RHH5C90"/>
    <s v="ANTONIO HENRIQUE DE SOUZA"/>
    <s v="NOVA INDEPENDENCIA"/>
    <s v="SP"/>
    <s v="PASSO FUNDO"/>
    <s v="RS"/>
    <s v="IPIRANGA PRODUTOS DE PETROLEO S.A."/>
    <s v="Cooperativa Prod de Cana-de-AA A ca A A car e"/>
    <s v="Cooperativa Prod de Cana-de-AA A ca A A car e"/>
    <s v="IPIRANGA PRODUTOS DE PETROLEO S.A."/>
    <s v="IPIRANGA PRODUTOS DE PETROLEO S.A."/>
    <s v="Etanol Anidro"/>
    <n v="59316"/>
    <n v="46780"/>
    <n v="16191.25"/>
    <n v="14248.3"/>
    <n v="0"/>
    <n v="1942.95"/>
    <n v="0.12"/>
    <n v="16191.25"/>
    <x v="39"/>
    <n v="1087"/>
    <s v="BWT"/>
    <x v="25"/>
  </r>
  <r>
    <s v="35260425102812000500570030000003091478652432"/>
    <s v="BWT TRANSPORTE E LOGISTICA S. A - PAULINIA"/>
    <s v="11/04/2026"/>
    <s v="309"/>
    <s v="279081"/>
    <s v="SEE2J90 - RYG6E01 - RYG6D61"/>
    <s v="VILSO DE OLIVEIRA COSTA"/>
    <s v="LUIS ANTONIO"/>
    <s v="SP"/>
    <s v="ARAUCARIA"/>
    <s v="PR"/>
    <s v="IPIRANGA PRODUTOS DE PETROLEO S/A"/>
    <s v="CENTRAL ENERGETICA MORENO ACUCAR E ALCOOL LTDA"/>
    <s v="CENTRAL ENERGETICA MORENO ACUCAR E ALCOOL LTDA"/>
    <s v="IPIRANGA PRODUTOS DE PETROLEO S/A"/>
    <s v="IPIRANGA PRODUTOS DE PETROLEO S/A"/>
    <s v="Etanol Anidro"/>
    <n v="59232"/>
    <n v="72580"/>
    <n v="10839.45"/>
    <n v="9538.7199999999993"/>
    <n v="0"/>
    <n v="1300.73"/>
    <n v="0.12"/>
    <n v="10839.45"/>
    <x v="38"/>
    <n v="701"/>
    <s v="BWT"/>
    <x v="30"/>
  </r>
  <r>
    <s v="35260425102812000500570030000003101234598189"/>
    <s v="BWT TRANSPORTE E LOGISTICA S. A - PAULINIA"/>
    <s v="11/04/2026"/>
    <s v="310"/>
    <s v="279082"/>
    <s v="TAW8C01 - RYF3A30 - RYF2J90"/>
    <s v="ROBERTO RIVELINO CABRAL"/>
    <s v="LUIS ANTONIO"/>
    <s v="SP"/>
    <s v="ARAUCARIA"/>
    <s v="PR"/>
    <s v="IPIRANGA PRODUTOS DE PETROLEO S/A"/>
    <s v="CENTRAL ENERGETICA MORENO ACUCAR E ALCOOL LTDA"/>
    <s v="CENTRAL ENERGETICA MORENO ACUCAR E ALCOOL LTDA"/>
    <s v="IPIRANGA PRODUTOS DE PETROLEO S/A"/>
    <s v="IPIRANGA PRODUTOS DE PETROLEO S/A"/>
    <s v="Etanol Anidro"/>
    <n v="59245"/>
    <n v="71280"/>
    <n v="10841.83"/>
    <n v="9540.81"/>
    <n v="0"/>
    <n v="1301.02"/>
    <n v="0.12"/>
    <n v="10841.83"/>
    <x v="38"/>
    <n v="701"/>
    <s v="BWT"/>
    <x v="10"/>
  </r>
  <r>
    <s v="35260425102812000500570030000003111346395953"/>
    <s v="BWT TRANSPORTE E LOGISTICA S. A - PAULINIA"/>
    <s v="11/04/2026"/>
    <s v="311"/>
    <s v="279083"/>
    <s v="JAV7E00 - SEX2C75 - JAV7E07"/>
    <s v="FRANCISCO JOSE ESTEVES"/>
    <s v="LUIS ANTONIO"/>
    <s v="SP"/>
    <s v="ARAUCARIA"/>
    <s v="PR"/>
    <s v="IPIRANGA PRODUTOS DE PETROLEO S/A"/>
    <s v="CENTRAL ENERGETICA MORENO ACUCAR E ALCOOL LTDA"/>
    <s v="CENTRAL ENERGETICA MORENO ACUCAR E ALCOOL LTDA"/>
    <s v="IPIRANGA PRODUTOS DE PETROLEO S/A"/>
    <s v="IPIRANGA PRODUTOS DE PETROLEO S/A"/>
    <s v="Etanol Anidro"/>
    <n v="59226"/>
    <n v="72360"/>
    <n v="10838.36"/>
    <n v="9537.76"/>
    <n v="0"/>
    <n v="1300.5999999999999"/>
    <n v="0.12"/>
    <n v="10838.36"/>
    <x v="38"/>
    <n v="701"/>
    <s v="BWT"/>
    <x v="29"/>
  </r>
  <r>
    <s v="35260425102812000500570030000003121692758195"/>
    <s v="BWT TRANSPORTE E LOGISTICA S. A - PAULINIA"/>
    <s v="11/04/2026"/>
    <s v="312"/>
    <s v="31194"/>
    <s v="SER3G75 - BDW5I59 - BDW5I60"/>
    <s v="WILSON CARNEIRO DA SILVA"/>
    <s v="SANTOS"/>
    <s v="SP"/>
    <s v="PRESIDENTE PRUDENTE"/>
    <s v="SP"/>
    <s v="IPIRANGA PRODUTOS DE PETROLEO S.A."/>
    <s v="IPIRANGA PRODUTOS DE PETROLEO S.A."/>
    <s v="ULTRACARGO LOGISTICA S.A"/>
    <s v="IPIRANGA PRODUTOS DE PETROLEO S/A"/>
    <s v="IPIRANGA PRODUTOS DE PETROLEO S/A"/>
    <s v="Diesel S10 A"/>
    <n v="59621"/>
    <n v="49420"/>
    <n v="12195.2"/>
    <n v="10731.78"/>
    <n v="0"/>
    <n v="1463.42"/>
    <n v="0.12"/>
    <n v="12195.2"/>
    <x v="36"/>
    <n v="641"/>
    <s v="BWT"/>
    <x v="58"/>
  </r>
  <r>
    <s v="41260425102812000179570030000008841234227221"/>
    <s v="BWT ARAUCARIA - ARAUCARIA"/>
    <s v="11/04/2026"/>
    <s v="884"/>
    <s v="1097626"/>
    <s v="JCK0D21 - BAQ4362"/>
    <s v="WERNER DUCK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720"/>
    <n v="58200"/>
    <n v="3976.54"/>
    <n v="3976.54"/>
    <n v="0"/>
    <n v="0"/>
    <m/>
    <m/>
    <x v="2"/>
    <n v="153"/>
    <s v="SUBCONTRATADO"/>
    <x v="6"/>
  </r>
  <r>
    <s v="41260425102812000179570030000008851811306417"/>
    <s v="BWT ARAUCARIA - ARAUCARIA"/>
    <s v="11/04/2026"/>
    <s v="885"/>
    <s v="17455"/>
    <s v="BBD0E79 - BDQ4E19 - BBD0E78"/>
    <s v="ADRIANO DAGNON"/>
    <s v="PARANAGUA"/>
    <s v="PR"/>
    <s v="MUITOS CAPOES"/>
    <s v="RS"/>
    <s v="BOCCHI INDUSTRIA E COMERCIO DE CERE TDA"/>
    <s v="HELM DO BRASIL MERCANTIL LTDA"/>
    <s v="CATTALINI TERMINAIS MARITIMOS S/A"/>
    <s v="BOCCHI INDUSTRIA E COMERCIO DE CERE TDA"/>
    <s v="BOCCHI INDUSTRIA E COMERCIO DE CERE TDA"/>
    <s v="METANOL - ONU 1230"/>
    <n v="48681"/>
    <n v="48681"/>
    <n v="10466.42"/>
    <n v="8675.85"/>
    <n v="607.5"/>
    <n v="1183.07"/>
    <n v="0.12"/>
    <n v="9858.92"/>
    <x v="8"/>
    <n v="581"/>
    <s v="BWT"/>
    <x v="55"/>
  </r>
  <r>
    <s v="41260425102812000179570030000008861067098154"/>
    <s v="BWT ARAUCARIA - ARAUCARIA"/>
    <s v="11/04/2026"/>
    <s v="886"/>
    <s v="1097742"/>
    <s v="BDQ4E29 - IZW8A03 - IZW8A02"/>
    <s v="LUIZ CARLOS COELH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8700"/>
    <n v="73640"/>
    <n v="4463.3599999999997"/>
    <n v="4463.3599999999997"/>
    <n v="0"/>
    <n v="0"/>
    <m/>
    <m/>
    <x v="2"/>
    <n v="153"/>
    <s v="BWT"/>
    <x v="3"/>
  </r>
  <r>
    <s v="41260425102812000179570030000008871069351261"/>
    <s v="BWT ARAUCARIA - ARAUCARIA"/>
    <s v="11/04/2026"/>
    <s v="887"/>
    <s v="1097750"/>
    <s v="BDF9C15 - JCH2G41"/>
    <s v="GUSTAVO ANTONIO NOGUEIRA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7940"/>
    <n v="58260"/>
    <n v="3896.44"/>
    <n v="3896.44"/>
    <n v="0"/>
    <n v="0"/>
    <m/>
    <m/>
    <x v="2"/>
    <n v="153"/>
    <s v="BWT"/>
    <x v="2"/>
  </r>
  <r>
    <s v="41260425102812000179570030000008881723144573"/>
    <s v="BWT ARAUCARIA - ARAUCARIA"/>
    <s v="11/04/2026"/>
    <s v="888"/>
    <s v="79698"/>
    <s v="BBM6H24 - BBM6H15 - BDQ4E18"/>
    <s v="DANIEL EUFRAZIO"/>
    <s v="PARANAGUA"/>
    <s v="PR"/>
    <s v="PRESIDENTE PRUDENTE"/>
    <s v="SP"/>
    <s v="IPIRANGA PRODUTOS DE PETROLEO S.A"/>
    <s v="IPIRANGA PRODUTOS DE PETROLEO S.A"/>
    <s v="IPIRANGA PRODUTOS DE PETROLEO S.A"/>
    <s v="IPIRANGA PRODUTOS DE PETROLEO S/A"/>
    <s v="IPIRANGA PRODUTOS DE PETROLEO S/A"/>
    <s v="Diesel S10 A"/>
    <n v="58102"/>
    <n v="47777"/>
    <n v="9524.08"/>
    <n v="9524.08"/>
    <n v="0"/>
    <n v="0"/>
    <n v="0.12"/>
    <n v="9524.08"/>
    <x v="40"/>
    <n v="647"/>
    <s v="BWT"/>
    <x v="39"/>
  </r>
  <r>
    <s v="41260425102812000179570030000008891189532250"/>
    <s v="BWT ARAUCARIA - ARAUCARIA"/>
    <s v="11/04/2026"/>
    <s v="889"/>
    <s v="1097808"/>
    <s v="BDQ4E39 - AYP3134 - AYP3135"/>
    <s v="WERNER DUCK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48520"/>
    <n v="73880"/>
    <n v="4446.8599999999997"/>
    <n v="4446.8599999999997"/>
    <n v="0"/>
    <n v="0"/>
    <m/>
    <m/>
    <x v="2"/>
    <n v="153"/>
    <s v="BWT"/>
    <x v="18"/>
  </r>
  <r>
    <s v="41260425102812000179570030000008901446204109"/>
    <s v="BWT ARAUCARIA - ARAUCARIA"/>
    <s v="11/04/2026"/>
    <s v="890"/>
    <s v="1097849"/>
    <s v="BBM5I48 - JCK0C84"/>
    <s v="FERNANDO JOSE CARVALH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400"/>
    <n v="58380"/>
    <n v="3943.68"/>
    <n v="3943.68"/>
    <n v="0"/>
    <n v="0"/>
    <m/>
    <m/>
    <x v="2"/>
    <n v="153"/>
    <s v="BWT"/>
    <x v="19"/>
  </r>
  <r>
    <s v="41260425102812000179570030000008911321009936"/>
    <s v="BWT ARAUCARIA - ARAUCARIA"/>
    <s v="11/04/2026"/>
    <s v="891"/>
    <s v="1097868"/>
    <s v="AWC0756 - BBL9D24"/>
    <s v="ANTONIO MARCOS GONCALVES"/>
    <s v="PARANAGUA"/>
    <s v="PR"/>
    <s v="IJUI"/>
    <s v="RS"/>
    <s v="CAMERA AGROALIMENTOS S A"/>
    <s v="CATTALINI TERMINAIS MARITIMOS S/A"/>
    <s v="CATTALINI TERMINAIS MARITIMOS S/A"/>
    <s v="CAMERA AGROALIMENTOS S A"/>
    <s v="CAMERA AGROALIMENTOS S A"/>
    <s v="METANOL - ONU 1230"/>
    <n v="33060"/>
    <n v="51540"/>
    <n v="7405.44"/>
    <n v="6229.29"/>
    <n v="326.7"/>
    <n v="849.45"/>
    <n v="0.12"/>
    <n v="7078.74"/>
    <x v="1"/>
    <n v="800"/>
    <s v="BWT"/>
    <x v="51"/>
  </r>
  <r>
    <s v="41260425102812000179570030000008921973450844"/>
    <s v="BWT ARAUCARIA - ARAUCARIA"/>
    <s v="11/04/2026"/>
    <s v="892"/>
    <s v="1097887"/>
    <s v="JCK0D21 - BAQ4362"/>
    <s v="OSVALDIR RIBEIRO PINTO"/>
    <s v="PARANAGUA"/>
    <s v="PR"/>
    <s v="LAPA"/>
    <s v="PR"/>
    <s v="POTENCIAL AGRO S/A - MATRIZ"/>
    <s v="CATTALINI TERMINAIS MARITIMOS S/A"/>
    <s v="CATTALINI TERMINAIS MARITIMOS S/A"/>
    <s v="POTENCIAL AGRO S/A - MATRIZ"/>
    <s v="POTENCIAL AGRO S/A - MATRIZ"/>
    <s v="METANOL - ONU 1230"/>
    <n v="38941"/>
    <n v="58301"/>
    <n v="3999.24"/>
    <n v="3999.24"/>
    <n v="0"/>
    <n v="0"/>
    <m/>
    <m/>
    <x v="2"/>
    <n v="153"/>
    <s v="SUBCONTRATADO"/>
    <x v="6"/>
  </r>
  <r>
    <s v="43260425102812000250570030000002701675731160"/>
    <s v="BWT TRANSPORTE E LOGISTICA S. A - ESTEIO"/>
    <s v="11/04/2026"/>
    <s v="270"/>
    <s v="39403"/>
    <s v="JAS4J43 - JAS4J59 - RHI3D46"/>
    <s v="ELENILDO GOMES DA SILVA"/>
    <s v="MUITOS CAPOES"/>
    <s v="RS"/>
    <s v="PAULINIA"/>
    <s v="SP"/>
    <s v="RUFF CJ DISTRIBUIDORA DE PETROLEO L"/>
    <s v="BOCCHI INDUSTRIA E COMERCIO DE CERE TDA"/>
    <s v="BOCCHI INDUSTRIA E COMERCIO DE CERE TDA"/>
    <s v="RUFF CJ DISTRIBUIDORA DE PETROLEO L"/>
    <s v="RUFF CJ DISTRIBUIDORA DE PETROLEO L"/>
    <s v="Biodiesel - B100"/>
    <n v="59722"/>
    <n v="52490"/>
    <n v="15821.26"/>
    <n v="13922.71"/>
    <n v="0"/>
    <n v="1898.55"/>
    <n v="0.12"/>
    <n v="15821.26"/>
    <x v="34"/>
    <n v="1002"/>
    <s v="BWT"/>
    <x v="28"/>
  </r>
  <r>
    <s v="43260425102812000250570030000002711120880544"/>
    <s v="BWT TRANSPORTE E LOGISTICA S. A - ESTEIO"/>
    <s v="11/04/2026"/>
    <s v="271"/>
    <s v="230684"/>
    <s v="BAH3I06 - BDQ4E23 - BAH3I07"/>
    <s v="DANIEL ANTONIO DOS SANTOS JUNIOR"/>
    <s v="IJUI"/>
    <s v="RS"/>
    <s v="BARUERI"/>
    <s v="SP"/>
    <s v="VIBRA ENERGIA S.A - FILIAL 63"/>
    <s v="CAMERA AGROALIMENTOS S A"/>
    <s v="CAMERA AGROALIMENTOS S A"/>
    <s v="VIBRA ENERGIA S.A - FILIAL 63"/>
    <s v="VIBRA ENERGIA S.A - FILIAL 63"/>
    <s v="Biodiesel - B100"/>
    <n v="57606"/>
    <n v="50500"/>
    <n v="20162.099999999999"/>
    <n v="17742.650000000001"/>
    <n v="0"/>
    <n v="2419.4499999999998"/>
    <n v="0.12"/>
    <n v="20162.099999999999"/>
    <x v="41"/>
    <n v="1120"/>
    <s v="BWT"/>
    <x v="33"/>
  </r>
  <r>
    <s v="35260425102812000500570030000003131215122338"/>
    <s v="BWT TRANSPORTE E LOGISTICA S. A - PAULINIA"/>
    <s v="12/04/2026"/>
    <s v="313"/>
    <s v="31221"/>
    <s v="BDU5F20 - BDU5F25 - SEY8B43"/>
    <s v="JOAQUIM RAIMUNDO PORTES JUNIOR"/>
    <s v="SANTOS"/>
    <s v="SP"/>
    <s v="PRESIDENTE PRUDENTE"/>
    <s v="SP"/>
    <s v="IPIRANGA PRODUTOS DE PETROLEO S.A."/>
    <s v="IPIRANGA PRODUTOS DE PETROLEO S.A."/>
    <s v="AGEO NORTE TERMINAIS E ARMAZENS GER A"/>
    <s v="IPIRANGA PRODUTOS DE PETROLEO S/A"/>
    <s v="IPIRANGA PRODUTOS DE PETROLEO S/A"/>
    <s v="Diesel S10 A"/>
    <n v="56831"/>
    <n v="47090"/>
    <n v="11624.52"/>
    <n v="10229.58"/>
    <n v="0"/>
    <n v="1394.94"/>
    <n v="0.12"/>
    <n v="11624.52"/>
    <x v="36"/>
    <n v="641"/>
    <s v="BWT"/>
    <x v="1"/>
  </r>
  <r>
    <s v="35260425102812000500570030000003141011635172"/>
    <s v="BWT TRANSPORTE E LOGISTICA S. A - PAULINIA"/>
    <s v="12/04/2026"/>
    <s v="314"/>
    <s v="31237"/>
    <s v="TAW2A65 - JCW7C28 - JCX7F21"/>
    <s v="JOSE ARIMATEIA DA SILVA"/>
    <s v="SANTOS"/>
    <s v="SP"/>
    <s v="PRESIDENTE PRUDENTE"/>
    <s v="SP"/>
    <s v="IPIRANGA PRODUTOS DE PETROLEO S.A."/>
    <s v="IPIRANGA PRODUTOS DE PETROLEO S.A."/>
    <s v="AGEO NORTE TERMINAIS E ARMAZENS GER A"/>
    <s v="IPIRANGA PRODUTOS DE PETROLEO S/A"/>
    <s v="IPIRANGA PRODUTOS DE PETROLEO S/A"/>
    <s v="Diesel S10 A"/>
    <n v="56481"/>
    <n v="46800"/>
    <n v="11552.93"/>
    <n v="10166.58"/>
    <n v="0"/>
    <n v="1386.35"/>
    <n v="0.12"/>
    <n v="11552.93"/>
    <x v="36"/>
    <n v="641"/>
    <s v="BWT"/>
    <x v="57"/>
  </r>
  <r>
    <s v="35260425102812000500570030000003151474469924"/>
    <s v="BWT TRANSPORTE E LOGISTICA S. A - PAULINIA"/>
    <s v="12/04/2026"/>
    <s v="315"/>
    <s v="31245"/>
    <s v="JBU5G53 - SEE2J86 - JBU5H02"/>
    <s v="SAMUEL CRUZ TORRES DE BRITO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3344"/>
    <n v="44334"/>
    <n v="3149.92"/>
    <n v="2771.93"/>
    <n v="0"/>
    <n v="377.99"/>
    <n v="0.12"/>
    <n v="3149.92"/>
    <x v="5"/>
    <n v="215"/>
    <s v="BWT"/>
    <x v="32"/>
  </r>
  <r>
    <s v="35260425102812000500570030000003161890872333"/>
    <s v="BWT TRANSPORTE E LOGISTICA S. A - PAULINIA"/>
    <s v="12/04/2026"/>
    <s v="316"/>
    <s v="31246"/>
    <s v="SEE2J88 - RYF2J50 - RYF2J80"/>
    <s v="MARCOS AURELIO NOGUEIRA"/>
    <s v="SANTOS"/>
    <s v="SP"/>
    <s v="PAULINIA"/>
    <s v="SP"/>
    <s v="IPIRANGA PRODUTOS DE PETROLEO S.A."/>
    <s v="IPIRANGA PRODUTOS DE PETROLEO S.A."/>
    <s v="VOPAK BRASIL S.A."/>
    <s v="IPIRANGA PRODUTOS DE PETROLEO S/A"/>
    <s v="IPIRANGA PRODUTOS DE PETROLEO S/A"/>
    <s v="Gasolina A"/>
    <n v="63290"/>
    <n v="44297"/>
    <n v="3150.11"/>
    <n v="2772.1"/>
    <n v="0"/>
    <n v="378.01"/>
    <n v="0.12"/>
    <n v="3150.11"/>
    <x v="5"/>
    <n v="215"/>
    <s v="BWT"/>
    <x v="22"/>
  </r>
  <r>
    <s v="35260425102812000500570030000003171973024884"/>
    <s v="BWT TRANSPORTE E LOGISTICA S. A - PAULINIA"/>
    <s v="12/04/2026"/>
    <s v="317"/>
    <s v="31247"/>
    <s v="JBU3A17 - JBU3A10 - SED7D20"/>
    <s v="VALDEREZ MAINARDES"/>
    <s v="SANTOS"/>
    <s v="SP"/>
    <s v="PRESIDENTE PRUDENTE"/>
    <s v="SP"/>
    <s v="IPIRANGA PRODUTOS DE PETROLEO S.A."/>
    <s v="IPIRANGA PRODUTOS DE PETROLEO S.A."/>
    <s v="AGEO NORTE TERMINAIS E ARMAZENS GER A"/>
    <s v="IPIRANGA PRODUTOS DE PETROLEO S/A"/>
    <s v="IPIRANGA PRODUTOS DE PETROLEO S/A"/>
    <s v="Diesel S10 A"/>
    <n v="55865"/>
    <n v="46290"/>
    <n v="11426.93"/>
    <n v="10055.700000000001"/>
    <n v="0"/>
    <n v="1371.23"/>
    <n v="0.12"/>
    <n v="11426.93"/>
    <x v="36"/>
    <n v="641"/>
    <s v="BWT"/>
    <x v="31"/>
  </r>
  <r>
    <s v="41260425102812000179570030000008931894536972"/>
    <s v="BWT ARAUCARIA - ARAUCARIA"/>
    <s v="12/04/2026"/>
    <s v="893"/>
    <s v="2407892"/>
    <s v="BBD0E82 - BBD0E81 - RHH5C95"/>
    <s v="REINALDO FERNEDA"/>
    <s v="ARAUCARIA"/>
    <s v="PR"/>
    <s v="PRESIDENTE PRUDENTE"/>
    <s v="SP"/>
    <s v="IPIRANGA PRODUTOS DE PETROLEO S/A"/>
    <s v="IPIRANGA PRODUTOS DE PETROLEO S/A"/>
    <s v="IPIRANGA PRODUTOS DE PETROLEO S/A"/>
    <s v="IPIRANGA PRODUTOS DE PETROLEO S/A"/>
    <s v="IPIRANGA PRODUTOS DE PETROLEO S/A"/>
    <s v="Diesel S500 A"/>
    <n v="60"/>
    <n v="50580"/>
    <n v="10727.05"/>
    <n v="9439.7999999999993"/>
    <n v="0"/>
    <n v="1287.25"/>
    <n v="0.12"/>
    <n v="10727.05"/>
    <x v="42"/>
    <n v="543"/>
    <s v="BWT"/>
    <x v="48"/>
  </r>
  <r>
    <s v="41260425102812000179570030000008941355973451"/>
    <s v="BWT ARAUCARIA - ARAUCARIA"/>
    <s v="12/04/2026"/>
    <s v="894"/>
    <s v="2407928"/>
    <s v="BBD0E82 - BBD0E81 - RHH5D97"/>
    <s v="MARIO SERGIO DOS SANTOS ANDREOLA"/>
    <s v="ARAUCARIA"/>
    <s v="PR"/>
    <s v="PRESIDENTE PRUDENTE"/>
    <s v="SP"/>
    <s v="IPIRANGA PRODUTOS DE PETROLEO S/A"/>
    <s v="IPIRANGA PRODUTOS DE PETROLEO S/A"/>
    <s v="IPIRANGA PRODUTOS DE PETROLEO S/A"/>
    <s v="IPIRANGA PRODUTOS DE PETROLEO S/A"/>
    <s v="IPIRANGA PRODUTOS DE PETROLEO S/A"/>
    <s v="Diesel S500 A"/>
    <n v="60"/>
    <n v="50316"/>
    <n v="10727.05"/>
    <n v="9439.7999999999993"/>
    <n v="0"/>
    <n v="1287.25"/>
    <n v="0.12"/>
    <n v="10727.05"/>
    <x v="42"/>
    <n v="543"/>
    <s v="BWT"/>
    <x v="38"/>
  </r>
  <r>
    <s v="41260425102812000179570030000008951348153654"/>
    <s v="BWT ARAUCARIA - ARAUCARIA"/>
    <s v="12/04/2026"/>
    <s v="895"/>
    <s v="1098055"/>
    <s v="SEE3G48 - JBT6B10 - JBT6B27"/>
    <s v="RAFAEL SOUZA MIRANDA"/>
    <s v="PARANAGUA"/>
    <s v="PR"/>
    <s v="IJUI"/>
    <s v="RS"/>
    <s v="CAMERA AGROALIMENTOS S A"/>
    <s v="CATTALINI TERMINAIS MARITIMOS S/A"/>
    <s v="CATTALINI TERMINAIS MARITIMOS S/A"/>
    <s v="CAMERA AGROALIMENTOS S A"/>
    <s v="CAMERA AGROALIMENTOS S A"/>
    <s v="METANOL - ONU 1230"/>
    <n v="47828"/>
    <n v="73888"/>
    <n v="10713.47"/>
    <n v="9140.36"/>
    <n v="326.7"/>
    <n v="1246.4100000000001"/>
    <n v="0.12"/>
    <n v="10386.77"/>
    <x v="1"/>
    <n v="800"/>
    <s v="BWT"/>
    <x v="9"/>
  </r>
  <r>
    <s v="42260425102812000330570030000000311066167161"/>
    <s v="BWT TRANSPORTE E LOGISTICA S. A - ITAJAI"/>
    <s v="12/04/2026"/>
    <s v="31"/>
    <s v="1315498"/>
    <s v="SEE3G48 - JBT6B10 - JBT6B27"/>
    <s v="RAFAEL SOUZA MIRANDA"/>
    <s v="ITAJAI"/>
    <s v="SC"/>
    <s v="ARAUCARIA"/>
    <s v="PR"/>
    <s v="IPIRANGA PRODUTOS DE PETROLEO S/A"/>
    <s v="IPIRANGA PRODUTOS DE PETROLEO S.A"/>
    <s v="IPIRANGA PRODUTOS DE PETROLEO S.A"/>
    <s v="IPIRANGA PRODUTOS DE PETROLEO S/A"/>
    <s v="IPIRANGA PRODUTOS DE PETROLEO S/A"/>
    <s v="Diesel S500 A"/>
    <n v="60"/>
    <n v="47400"/>
    <n v="2851.2"/>
    <n v="2851.2"/>
    <n v="0"/>
    <n v="0"/>
    <n v="0.12"/>
    <n v="2851.2"/>
    <x v="43"/>
    <n v="223"/>
    <s v="BWT"/>
    <x v="9"/>
  </r>
  <r>
    <m/>
    <m/>
    <m/>
    <m/>
    <m/>
    <m/>
    <m/>
    <m/>
    <m/>
    <m/>
    <m/>
    <m/>
    <m/>
    <m/>
    <m/>
    <m/>
    <m/>
    <m/>
    <m/>
    <m/>
    <m/>
    <m/>
    <m/>
    <m/>
    <m/>
    <x v="44"/>
    <m/>
    <m/>
    <x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97EFB-89E5-4C58-AAA6-72075E6AE858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22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dataField="1" showAll="0" sortType="descending">
      <items count="48">
        <item h="1" m="1" x="46"/>
        <item x="4"/>
        <item x="10"/>
        <item x="3"/>
        <item x="17"/>
        <item x="9"/>
        <item x="15"/>
        <item x="14"/>
        <item x="24"/>
        <item x="23"/>
        <item x="11"/>
        <item x="0"/>
        <item x="19"/>
        <item x="1"/>
        <item x="2"/>
        <item x="16"/>
        <item x="12"/>
        <item x="8"/>
        <item x="18"/>
        <item x="20"/>
        <item m="1" x="45"/>
        <item x="22"/>
        <item x="5"/>
        <item x="7"/>
        <item h="1" x="44"/>
        <item x="21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8"/>
        <item h="1" x="39"/>
        <item h="1" x="40"/>
        <item h="1" x="37"/>
        <item h="1" x="41"/>
        <item h="1" x="42"/>
        <item h="1" x="43"/>
        <item h="1" x="6"/>
        <item h="1" x="13"/>
        <item h="1" x="2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axis="axisRow" showAll="0">
      <items count="61">
        <item x="6"/>
        <item x="8"/>
        <item x="17"/>
        <item x="51"/>
        <item x="16"/>
        <item x="19"/>
        <item x="7"/>
        <item x="2"/>
        <item x="39"/>
        <item x="55"/>
        <item x="33"/>
        <item x="3"/>
        <item x="15"/>
        <item x="41"/>
        <item x="18"/>
        <item x="52"/>
        <item x="54"/>
        <item x="24"/>
        <item x="53"/>
        <item x="25"/>
        <item x="49"/>
        <item x="48"/>
        <item x="38"/>
        <item x="28"/>
        <item x="31"/>
        <item x="46"/>
        <item x="34"/>
        <item x="14"/>
        <item x="40"/>
        <item x="0"/>
        <item x="32"/>
        <item x="45"/>
        <item x="22"/>
        <item x="30"/>
        <item x="11"/>
        <item x="9"/>
        <item x="47"/>
        <item x="13"/>
        <item x="29"/>
        <item x="44"/>
        <item x="1"/>
        <item x="36"/>
        <item x="5"/>
        <item x="35"/>
        <item x="21"/>
        <item x="26"/>
        <item x="27"/>
        <item x="23"/>
        <item x="20"/>
        <item x="42"/>
        <item x="37"/>
        <item x="43"/>
        <item x="4"/>
        <item x="50"/>
        <item x="10"/>
        <item x="12"/>
        <item x="59"/>
        <item x="57"/>
        <item x="58"/>
        <item x="56"/>
        <item t="default"/>
      </items>
    </pivotField>
  </pivotFields>
  <rowFields count="2">
    <field x="25"/>
    <field x="28"/>
  </rowFields>
  <rowItems count="119">
    <i>
      <x v="14"/>
    </i>
    <i r="1">
      <x/>
    </i>
    <i r="1">
      <x v="1"/>
    </i>
    <i r="1">
      <x v="3"/>
    </i>
    <i r="1">
      <x v="5"/>
    </i>
    <i r="1">
      <x v="6"/>
    </i>
    <i r="1">
      <x v="7"/>
    </i>
    <i r="1">
      <x v="11"/>
    </i>
    <i r="1">
      <x v="14"/>
    </i>
    <i>
      <x v="22"/>
    </i>
    <i r="1">
      <x v="2"/>
    </i>
    <i r="1">
      <x v="4"/>
    </i>
    <i r="1">
      <x v="11"/>
    </i>
    <i r="1">
      <x v="12"/>
    </i>
    <i r="1">
      <x v="24"/>
    </i>
    <i r="1">
      <x v="26"/>
    </i>
    <i r="1">
      <x v="27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40"/>
    </i>
    <i r="1">
      <x v="41"/>
    </i>
    <i r="1">
      <x v="43"/>
    </i>
    <i r="1">
      <x v="50"/>
    </i>
    <i r="1">
      <x v="54"/>
    </i>
    <i r="1">
      <x v="55"/>
    </i>
    <i r="1">
      <x v="57"/>
    </i>
    <i>
      <x v="2"/>
    </i>
    <i r="1">
      <x v="17"/>
    </i>
    <i r="1">
      <x v="19"/>
    </i>
    <i r="1">
      <x v="45"/>
    </i>
    <i r="1">
      <x v="47"/>
    </i>
    <i>
      <x v="17"/>
    </i>
    <i r="1">
      <x/>
    </i>
    <i r="1">
      <x v="9"/>
    </i>
    <i r="1">
      <x v="15"/>
    </i>
    <i r="1">
      <x v="44"/>
    </i>
    <i r="1">
      <x v="46"/>
    </i>
    <i r="1">
      <x v="47"/>
    </i>
    <i r="1">
      <x v="49"/>
    </i>
    <i r="1">
      <x v="50"/>
    </i>
    <i>
      <x v="13"/>
    </i>
    <i r="1">
      <x v="3"/>
    </i>
    <i r="1">
      <x v="10"/>
    </i>
    <i r="1">
      <x v="13"/>
    </i>
    <i r="1">
      <x v="29"/>
    </i>
    <i r="1">
      <x v="35"/>
    </i>
    <i r="1">
      <x v="40"/>
    </i>
    <i r="1">
      <x v="48"/>
    </i>
    <i>
      <x v="9"/>
    </i>
    <i r="1">
      <x/>
    </i>
    <i r="1">
      <x v="16"/>
    </i>
    <i r="1">
      <x v="18"/>
    </i>
    <i r="1">
      <x v="28"/>
    </i>
    <i>
      <x v="10"/>
    </i>
    <i r="1">
      <x v="9"/>
    </i>
    <i r="1">
      <x v="21"/>
    </i>
    <i r="1">
      <x v="23"/>
    </i>
    <i r="1">
      <x v="46"/>
    </i>
    <i r="1">
      <x v="50"/>
    </i>
    <i>
      <x v="7"/>
    </i>
    <i r="1">
      <x v="39"/>
    </i>
    <i r="1">
      <x v="51"/>
    </i>
    <i>
      <x v="23"/>
    </i>
    <i r="1">
      <x v="8"/>
    </i>
    <i r="1">
      <x v="13"/>
    </i>
    <i r="1">
      <x v="22"/>
    </i>
    <i r="1">
      <x v="44"/>
    </i>
    <i r="1">
      <x v="48"/>
    </i>
    <i r="1">
      <x v="49"/>
    </i>
    <i>
      <x v="19"/>
    </i>
    <i r="1">
      <x v="23"/>
    </i>
    <i r="1">
      <x v="46"/>
    </i>
    <i r="1">
      <x v="53"/>
    </i>
    <i>
      <x v="8"/>
    </i>
    <i r="1">
      <x/>
    </i>
    <i>
      <x v="3"/>
    </i>
    <i r="1">
      <x v="42"/>
    </i>
    <i r="1">
      <x v="52"/>
    </i>
    <i>
      <x v="6"/>
    </i>
    <i r="1">
      <x v="31"/>
    </i>
    <i r="1">
      <x v="40"/>
    </i>
    <i>
      <x v="11"/>
    </i>
    <i r="1">
      <x v="29"/>
    </i>
    <i r="1">
      <x v="39"/>
    </i>
    <i r="1">
      <x v="51"/>
    </i>
    <i>
      <x v="15"/>
    </i>
    <i r="1">
      <x v="35"/>
    </i>
    <i>
      <x v="16"/>
    </i>
    <i r="1">
      <x v="16"/>
    </i>
    <i r="1">
      <x v="28"/>
    </i>
    <i>
      <x v="5"/>
    </i>
    <i r="1">
      <x v="10"/>
    </i>
    <i r="1">
      <x v="32"/>
    </i>
    <i>
      <x v="12"/>
    </i>
    <i r="1">
      <x/>
    </i>
    <i>
      <x v="18"/>
    </i>
    <i r="1">
      <x v="6"/>
    </i>
    <i>
      <x v="21"/>
    </i>
    <i r="1">
      <x v="20"/>
    </i>
    <i>
      <x v="4"/>
    </i>
    <i r="1">
      <x v="25"/>
    </i>
    <i>
      <x v="1"/>
    </i>
    <i r="1">
      <x v="35"/>
    </i>
    <i>
      <x v="25"/>
    </i>
    <i r="1">
      <x v="9"/>
    </i>
    <i r="1">
      <x v="14"/>
    </i>
    <i r="1">
      <x v="21"/>
    </i>
    <i r="1">
      <x v="26"/>
    </i>
    <i r="1">
      <x v="29"/>
    </i>
    <i r="1">
      <x v="31"/>
    </i>
    <i r="1">
      <x v="36"/>
    </i>
    <i r="1">
      <x v="37"/>
    </i>
    <i r="1">
      <x v="42"/>
    </i>
    <i r="1"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ROTA" fld="25" subtotal="count" baseField="0" baseItem="0"/>
    <dataField name="Soma de VALOR TOTAL" fld="19" baseField="0" baseItem="0"/>
  </dataFields>
  <formats count="1">
    <format dxfId="7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B215C-448B-40F0-9851-0B8C83AFC0AF}" name="Tabela1" displayName="Tabela1" ref="A1:T67" totalsRowCount="1" headerRowDxfId="85" dataDxfId="83" totalsRowDxfId="81" headerRowBorderDxfId="84" tableBorderDxfId="82" totalsRowBorderDxfId="80" dataCellStyle="Moeda">
  <autoFilter ref="A1:T66" xr:uid="{939B215C-448B-40F0-9851-0B8C83AFC0AF}"/>
  <sortState xmlns:xlrd2="http://schemas.microsoft.com/office/spreadsheetml/2017/richdata2" ref="A2:T66">
    <sortCondition ref="O1:O66"/>
  </sortState>
  <tableColumns count="20">
    <tableColumn id="9" xr3:uid="{38B101E9-07CF-4C67-83AD-80EFF26D05D4}" name="MODELO" dataDxfId="39" totalsRowDxfId="20"/>
    <tableColumn id="7" xr3:uid="{A267C7D9-6519-4391-8D83-025538D53FF6}" name="ANO" dataDxfId="38" totalsRowDxfId="19"/>
    <tableColumn id="1" xr3:uid="{C06F738E-C87E-4572-AA60-34721350D8B6}" name="PLACA" dataDxfId="37" totalsRowDxfId="18"/>
    <tableColumn id="2" xr3:uid="{FD9153A5-E153-46EA-8ACB-4CF06F0ECA9A}" name="ROTA" dataDxfId="36" totalsRowDxfId="17"/>
    <tableColumn id="5" xr3:uid="{02417D3A-9111-4B7D-B8FC-1AF6745F7D87}" name="MOTORISTA" dataDxfId="35" totalsRowDxfId="16">
      <calculatedColumnFormula>IFERROR(_xlfn.XLOOKUP(Tabela1[[#This Row],[PLACA]],'Telemetria Sighra'!F:F,'Telemetria Sighra'!T:T),"NÃO EMBARCADO")</calculatedColumnFormula>
    </tableColumn>
    <tableColumn id="11" xr3:uid="{27264F3B-91BF-4776-A7E3-2009140FACA2}" name="KM CARREGADO" dataDxfId="34" totalsRowDxfId="15" dataCellStyle="Vírgula">
      <calculatedColumnFormula array="1">SUMPRODUCT((ISNUMBER(FIND(C2,Faturamento!$F$2:$F$1014)))*(Faturamento!$AA$2:$AA$1014))</calculatedColumnFormula>
    </tableColumn>
    <tableColumn id="8" xr3:uid="{6AFF4182-2ED8-415F-B8CA-0D94742199B8}" name="KM VAZIO" dataDxfId="33" totalsRowDxfId="14" dataCellStyle="Vírgula">
      <calculatedColumnFormula>Tabela1[[#This Row],[HODÔMETRO]]-Tabela1[[#This Row],[KM CARREGADO]]</calculatedColumnFormula>
    </tableColumn>
    <tableColumn id="10" xr3:uid="{C90BFBE8-A666-427A-AC20-62A4DEE2F14B}" name="HODÔMETRO" totalsRowFunction="sum" dataDxfId="32" totalsRowDxfId="13" dataCellStyle="Vírgula"/>
    <tableColumn id="12" xr3:uid="{13D9752E-0EDE-4C3B-9F4C-3B631BEBB14D}" name="FATURAMENTO" totalsRowFunction="sum" dataDxfId="31" totalsRowDxfId="12" dataCellStyle="Moeda">
      <calculatedColumnFormula>SUMIF(Faturamento!AC:AC,C2,Faturamento!T:T)</calculatedColumnFormula>
    </tableColumn>
    <tableColumn id="13" xr3:uid="{A91A34E6-14B0-4AFF-ACC4-86969C48766B}" name="VOLUME TRANSPORTADO" dataDxfId="30" totalsRowDxfId="11" dataCellStyle="Vírgula">
      <calculatedColumnFormula array="1">SUMPRODUCT((ISNUMBER(FIND(C2,Faturamento!$F$2:$F$1014)))*(Faturamento!$R$2:$R$1014))</calculatedColumnFormula>
    </tableColumn>
    <tableColumn id="14" xr3:uid="{365DABC6-8280-465D-9243-83F4778C34B5}" name="CUSTO FIXO (SEM DEPREC.)" dataDxfId="29" totalsRowDxfId="10" dataCellStyle="Moeda">
      <calculatedColumnFormula>$AH$2/30*$AA$1</calculatedColumnFormula>
    </tableColumn>
    <tableColumn id="15" xr3:uid="{DF40EC5D-F001-4704-973D-4A9252539D20}" name="CUSTO VARIÁVEL" dataDxfId="28" totalsRowDxfId="9" dataCellStyle="Moeda"/>
    <tableColumn id="4" xr3:uid="{F7D6BF61-3216-4483-AC4D-A3CBF5C271EF}" name="EBITDA ESTIMADO" totalsRowFunction="sum" dataDxfId="27" totalsRowDxfId="8" dataCellStyle="Moeda"/>
    <tableColumn id="6" xr3:uid="{C55282D0-7767-4453-A4FC-9322AFBF9D19}" name="EBITDA ATINGIDO" totalsRowFunction="average" dataDxfId="26" totalsRowDxfId="7" dataCellStyle="Moeda">
      <calculatedColumnFormula>Tabela1[[#This Row],[RESULTADO]]/Tabela1[[#This Row],[EBITDA ESTIMADO]]</calculatedColumnFormula>
    </tableColumn>
    <tableColumn id="16" xr3:uid="{F4ADC38C-928E-4EC8-9A08-9A0AB6A618B6}" name="RESULTADO" totalsRowFunction="sum" dataDxfId="0" totalsRowDxfId="6" dataCellStyle="Moeda">
      <calculatedColumnFormula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calculatedColumnFormula>
    </tableColumn>
    <tableColumn id="23" xr3:uid="{0F08ABBF-015F-4AE3-BEF3-3817C7D39495}" name="MARGEM" dataDxfId="25" totalsRowDxfId="5" dataCellStyle="Moeda">
      <calculatedColumnFormula>IFERROR(Tabela1[[#This Row],[RESULTADO]]/Tabela1[[#This Row],[FATURAMENTO]],"-")</calculatedColumnFormula>
    </tableColumn>
    <tableColumn id="18" xr3:uid="{CCE799BD-3585-492B-9231-248B188CDE16}" name="FATURAMENTO POR KM" totalsRowFunction="average" dataDxfId="24" totalsRowDxfId="4">
      <calculatedColumnFormula>IFERROR(I2/H2,"-")</calculatedColumnFormula>
    </tableColumn>
    <tableColumn id="19" xr3:uid="{D48F345E-9192-4F4F-B729-8594F0B0BBCA}" name="MÉDIA KM/L" totalsRowFunction="average" dataDxfId="23" totalsRowDxfId="3">
      <calculatedColumnFormula>_xlfn.XLOOKUP(C2,'Telemetria Sighra'!F:F,'Telemetria Sighra'!S:S,0)</calculatedColumnFormula>
    </tableColumn>
    <tableColumn id="17" xr3:uid="{3A2B5DF2-1D8F-472E-8C6F-6F690686189F}" name="LITROS CONSUMIDOS" totalsRowFunction="sum" dataDxfId="22" totalsRowDxfId="2" dataCellStyle="Vírgula">
      <calculatedColumnFormula>_xlfn.XLOOKUP(Tabela1[[#This Row],[PLACA]],'Telemetria Sighra'!F:F,'Telemetria Sighra'!I:I,0)</calculatedColumnFormula>
    </tableColumn>
    <tableColumn id="3" xr3:uid="{AC2572BB-756D-462E-9491-9EDC57C98131}" name="Coluna1" dataDxfId="21" totalsRowDxfId="1" dataCellStyle="Moeda">
      <calculatedColumnFormula>IFERROR((Tabela1[[#This Row],[LITROS CONSUMIDOS]]*$U$1)/Tabela1[[#This Row],[HODÔMETRO]],"-")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66F021-B8C5-44E7-BD6B-7E9D6195ED62}" name="Tabela2" displayName="Tabela2" ref="A1:AC233" totalsRowShown="0" headerRowDxfId="79" dataDxfId="77" headerRowBorderDxfId="78" tableBorderDxfId="76" totalsRowBorderDxfId="75">
  <autoFilter ref="A1:AC233" xr:uid="{9E66F021-B8C5-44E7-BD6B-7E9D6195ED62}">
    <filterColumn colId="11">
      <filters>
        <filter val="VIBRA ENERGIA S.A - FILIAL 100"/>
        <filter val="VIBRA ENERGIA S.A - FILIAL 58"/>
        <filter val="VIBRA ENERGIA S.A - FILIAL 63"/>
        <filter val="VIBRA ENERGIA S.A - FILIAL 64"/>
        <filter val="VIBRA ENERGIA SA"/>
      </filters>
    </filterColumn>
  </autoFilter>
  <tableColumns count="29">
    <tableColumn id="1" xr3:uid="{BDBB5738-86D6-4F47-B005-CF571C6F50A0}" name="CHAVE CTe" dataDxfId="69"/>
    <tableColumn id="2" xr3:uid="{28E4FA64-6F1C-4C53-AB48-999FC86A9134}" name="FILIAL EMITENTE" dataDxfId="68"/>
    <tableColumn id="3" xr3:uid="{DFE12049-B444-4E78-B8A5-D11B0E133A4F}" name="DATA" dataDxfId="67"/>
    <tableColumn id="4" xr3:uid="{B0179817-33BF-4676-8BD5-DE5FF333BC6E}" name="CTe" dataDxfId="66"/>
    <tableColumn id="5" xr3:uid="{F64C227E-6A61-4FDB-A2C4-EB12CD9891BC}" name="NFs" dataDxfId="65"/>
    <tableColumn id="6" xr3:uid="{F48FDEFC-97C1-4BAD-B61C-17687EADC923}" name="PLACAS" dataDxfId="64"/>
    <tableColumn id="7" xr3:uid="{8719DD50-6252-4DFE-9BAA-6B90C7165865}" name="MOTORISTA" dataDxfId="63"/>
    <tableColumn id="8" xr3:uid="{26C6037D-B476-4EDE-852E-1F20B4E4029C}" name="ORIGEM" dataDxfId="62"/>
    <tableColumn id="9" xr3:uid="{A903FCDB-8286-4CEF-AB94-64C91DEE27EA}" name="UF ORIGEM" dataDxfId="61"/>
    <tableColumn id="10" xr3:uid="{FCCE25EF-7D60-4200-89BB-3D874BECBCEF}" name="DESTINO" dataDxfId="60"/>
    <tableColumn id="11" xr3:uid="{C9C32118-32A6-49AD-9DEA-A5795795AD65}" name="UF DESTINO" dataDxfId="59"/>
    <tableColumn id="12" xr3:uid="{19062D0D-77A4-43F3-A269-ECD4BCAE1A72}" name="TOMADOR" dataDxfId="58"/>
    <tableColumn id="13" xr3:uid="{495498A8-7AB4-40C3-8C72-2FE8B9DD165B}" name="REMETENTE" dataDxfId="57"/>
    <tableColumn id="14" xr3:uid="{FE5EAAAB-1A8A-496E-91CA-9EA13A7AC08A}" name="EXPEDIDOR" dataDxfId="56"/>
    <tableColumn id="15" xr3:uid="{0C968382-B9B2-4EDA-8EE6-8185DA9EED31}" name="DESTINATÁRIO" dataDxfId="55"/>
    <tableColumn id="16" xr3:uid="{0680CAFC-0878-45E3-AC31-B145C4408A94}" name="RECEBEDOR" dataDxfId="54"/>
    <tableColumn id="17" xr3:uid="{D2D45411-BC96-417C-91D2-76AAC31474F5}" name="PRODUTO" dataDxfId="53"/>
    <tableColumn id="18" xr3:uid="{9C07E50E-B0FA-49D0-9817-321B71A76762}" name="QUANTIDADE" dataDxfId="45"/>
    <tableColumn id="19" xr3:uid="{FFD61937-FC14-44AD-85A5-D1A3C8D1A6C5}" name="PESO" dataDxfId="46"/>
    <tableColumn id="20" xr3:uid="{E394D669-A500-4E51-9120-8C7DF6E650C9}" name="VALOR TOTAL" dataDxfId="52" dataCellStyle="Moeda"/>
    <tableColumn id="21" xr3:uid="{9B7F4825-DC28-453B-8BFE-02337947CA97}" name="FRETE PESO" dataDxfId="51" dataCellStyle="Moeda"/>
    <tableColumn id="22" xr3:uid="{0E01C55D-EBDC-4DE6-981B-4B33270E2E4B}" name="PEDÁGIO" dataDxfId="50" dataCellStyle="Moeda"/>
    <tableColumn id="23" xr3:uid="{677F532E-04B7-4D55-9A82-BF48BA8EC42A}" name="ICMS" dataDxfId="49" dataCellStyle="Moeda"/>
    <tableColumn id="24" xr3:uid="{9A1ABE54-F915-4C0B-88D6-296F87E80E38}" name="ALÍQUOTA ICMS" dataDxfId="48"/>
    <tableColumn id="25" xr3:uid="{11B2A293-DB7A-4338-B12F-53941657EDCE}" name="BASE CÁLCULO" dataDxfId="47" dataCellStyle="Moeda"/>
    <tableColumn id="26" xr3:uid="{61275BDB-C83D-4340-9678-1E37C415D404}" name="ROTA" dataDxfId="74">
      <calculatedColumnFormula>IF(H2&amp;J2="","CT-e COMPLEMENTAR",H2&amp;"/"&amp;J2)</calculatedColumnFormula>
    </tableColumn>
    <tableColumn id="27" xr3:uid="{9AFEC123-7689-4F46-9CD4-251C12A6C395}" name="KM ROTA" dataDxfId="73">
      <calculatedColumnFormula>IFERROR(_xlfn.XLOOKUP(Z2,Rotas!C:C,Rotas!D:D),"0")</calculatedColumnFormula>
    </tableColumn>
    <tableColumn id="28" xr3:uid="{B480D703-151D-4810-AB4A-3476CF3F6360}" name="EMPRESA" dataDxfId="72">
      <calculatedColumnFormula>IF(AC2=0,"SUBCONTRATADO","BWT")</calculatedColumnFormula>
    </tableColumn>
    <tableColumn id="29" xr3:uid="{82A6DDF0-1668-4D2C-B1F6-141712B1CC7B}" name="CAVALO" dataDxfId="71">
      <calculatedColumnFormula array="1">IFERROR(
INDEX(
_xlfn._xlws.FILTER(
BWT!$C$1:$C$100,
ISNUMBER(FIND(
SUBSTITUTE(BWT!$C$1:$C$100," ",""),
SUBSTITUTE(SUBSTITUTE(SUBSTITUTE(F2," ",""),"-",""),CHAR(160),"")
))
),
1
),
"")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qualp.com.br/?data=-hk0baNH0jpxYntS9APN92miMVRfNXU7skB9ZoHH10B33i7yIn_S5974DxaUhpFTAGcIQpFqy8F3Xnr6m3G0NAWa2Xby_a2_iyjHrpcmZiRfbtd0frsvrr8So-knaVtHymKT-1h7sPYT8yF6GbraeDHGeku5kArVfqnjQx3SJdDDmg16frsNIPQ9Ps7NXrHVYF9f2VOm4smee7vk8kv7Gy2fZgpzL6l9ZwGQdp0jg2ff6ABaRupgWuPVfIVzXpMq8_AzxOTmVAY7Bz1LbBp4FsuAPAGkbwEcm40wOo_MagCEXtlQC0gdpU3ZVX0YaXNO5YQLnYcYmsQUfWlR7uY-nDO9O6xcX-EEBUZNqpsh6pZEf18PvFmbY9FmGKM2qiT4YSv_I0RG0zdajl6WEOxK5gpHOwgSyn95ydaShx_3-fIkkOuoOsNbtCfdGtEW8yb0Sjsx8si_VLouPUfDcUb303OeZEXcYHjm1qEJc9-4aGzNftEOR8Q06LWRvGGnDwWhEqRk4epXweHo2vJSZ_q8sQ1FwvyzTZG7Iq8OFhgRD_YW&amp;type_route=efficient" TargetMode="External"/><Relationship Id="rId21" Type="http://schemas.openxmlformats.org/officeDocument/2006/relationships/hyperlink" Target="https://qualp.com.br/?data=8PnjVu5ZRuQG91JOlruXgxcfQjbXOQKHNmJwqKNPXbhqSZ5W-rR-5aYPNMiT9yHYyZGi_8MvmoRVLGzX926BqqgGsdA9fbgJqv17obst2esNgI5odKjqkYPOy2H3ra_pqaQt0FKA2waiL-s8dCvlj1DZcaMxzgFud84Lq_YBdbVx7dp54VsX6nSh0EVQtLKa6_QQOJc7XlcacY5_BpLdbluz1FIeen2nwUFxCn__O1FMrazIa7Dq2giOec0G3GcZvrv4JxnhsIOKHxLxh0QSDxTkh2niCWm0XD6cg0dDiJ3P5TcxfD5SoxgRfYFgzTWCwfj03xnnx8mtR2__m-5LnBk2VfsFvEdVoGQa7YaaZaoqLA7Y0vKl9_WbEDO700Cxkt86terSydv9WcVw6OVIsJmUPYZJpjHrAErqQqtEWyj6CPrfv4qq9t54RQHwudjZjzgpisxc8lhzPz_H4lB5fqF6IMCNgZGGQU1yV9lxYjsVJ41ACid1oOLQXR7Su1sMOao5MuA0RFi9TKX4lA5TbAhs5LiO9BCm9z-PWkfgJ8KMKxrqk1h0ISzUMLQ_gqaDbFwN&amp;type_route=efficient" TargetMode="External"/><Relationship Id="rId42" Type="http://schemas.openxmlformats.org/officeDocument/2006/relationships/hyperlink" Target="https://qualp.com.br/?data=Ofo1dpQsBudG6fwe_MmpdjRdZPjO_SMJl-t8aYSnPjXO6YWwaYHp7QQFmD3ssVBq0OL8Gljz3bcHrwp8KRLlPZjXefOmeGHC09L_pElrFRvD-e8EDbN7H5JoQO5-GESxxLyMTDIQkpyiILwkQ_45oAekIpFwzNmjGHtIUuXCtwKC3nht0Kzsi2P2XWKe4KT-aUoEQrZXqHXiC28UgyV_tnojDo-VqHksHAL_fsS5IYx9zayr_oBdOX8Mtuc-wKjL-EdoGVSSD6dqA9PnhA3cTTzsNnRLusYnVNAYCNcJml7Ip2qpTUPQtesmn-8TOowbcj4n9Pe1p38WXLPCHf0DhgqWuV6i1lb1b1FUL8_xTa1ytiaWThyXVgvND7LTq7JyTeSb8lQoS2qptexJJ377n20LodiNGol_hjAlG_TJQEoTyE0SrHQHlBlo_9hGSvMccOxPAdZegBfX3O7ymiGTZNlpOk-Oq-zQtoBLCN201R5FsCbQLRsToOUlkwxtsi3mVNQf0UzMjicoIHuFUTl-hYhUkOjuYiwaTUsJ-2Jrir78bhVZhyAPPZ5D4aq_7sfE-fuNf1gvPZwDjFM&amp;type_route=efficient" TargetMode="External"/><Relationship Id="rId63" Type="http://schemas.openxmlformats.org/officeDocument/2006/relationships/hyperlink" Target="https://qualp.com.br/?data=OyF74XBn7BtNT5ztK1aVb3AKNy2dFWg5S6_mlzTOATS2n9dUjCKbjIy0dfK50lyYlueZNgh775ZFC9agPBZHAalQSqVwgNP2GITDP3mM48mTW5TaNNlNSqfrLXmzSUblrvuoDJJY_B-_JDUtWWjz5OPXmdHC_N7a_cVWCjG9HkZsn3qGbegVyqWZItfMpP45et75IcFXyBgVa9pNaqMGsKV7a5ci5iBwk49rnbiC6w-D_maH_2j9EQwD8iQ7NM0Wj33vHiIzEhVukB8FfB3tRi5-3rbkkI9MJU7MixC8KKAajNfodf2GS948QIefkwHUorgU5Z6k_WXNZ4zbI-ikaFhGeSKuqzfxJKm_9m8Ht2k-HgOqslRMKDQzLMI_yWi6qXgkhWzN3Fj9_UTx6xKrnFRHUfPix7Asf7nlZ1xHHGbCWE0eWtVSoYuNgtq1D5dlQ-rGRj4m8FrDQGsW_qKVQVZDaApG_e2gRvjNN7pmVmd-YHzFq3HITAfdqrTQTgjHeNJwm9HbSaQF_ycRj6R6uyKGY0RPvKT-5BYapAMday5vNf_NJkk&amp;type_route=efficient" TargetMode="External"/><Relationship Id="rId84" Type="http://schemas.openxmlformats.org/officeDocument/2006/relationships/hyperlink" Target="https://qualp.com.br/?data=MsoN71DK9q0Jlp0T2SkSGe-xKvricfJyDq-pnlq4WkvBHAw8MHHPz-gEWO-1x6D0bajvIYiMtkNpljLRaO_o2rrXHs41ukCLGM68O1H2uSOrFqE8QQBnlhTr2uXp6kInM51tXQVJ1Fq9MHxV_jhSZMgm8tfjgHxadVULbvAAmuM5FoKMwkMXiyc5NzBqPD4X2nH7uJwhXVcnVRNckYHA1D-B8c7VsAAWNZ1G_aZpgNLzVth5Fi0UvpT-tp_j8uXNb60O40I5hhWy8w1ua_CcWIY4yylV-gl7RdMyI5r7uFpqAF9Wxz3x6KCx_Lln6n2AgXWBybI7KjojObzdp6kfqzbjPENn0EnqYgF48RNgigvSlMpbldUf4hH0f3FHGyWrwKC4dxIm7h-ir2oleO6eRKIUGNmaq6El3FpnSm9ESvvu5KY5Xq6q0pJnSIDtaK8sdIB1SOdUdP8e0p1ZfyNuRagIk-cm1ekPwKB25kx6il8HjK4SCNjg24dpeaydvM97soo6ACQG8wWSefhGKUllq9J9LT4iMhm6W8FDWsjw4mgn8lnU&amp;type_route=efficient" TargetMode="External"/><Relationship Id="rId138" Type="http://schemas.openxmlformats.org/officeDocument/2006/relationships/hyperlink" Target="https://qualp.com.br/?data=k_aSndWdS5tpTtUyuVMV22ifDkG_diM43LDcs9giMQKsEX1NOUAtCF_xkhDBJa69JUZX-rOkrvNjHLdgBXZXIGiKDRvVPbTHaljYqlNRUktLz56lzR-AGYUvkgGuzdTWy9fb5xmpUvsosCo4ybwCyDOeVd87zhy2i3y4Q4KwkfM15gJ7PUOFcRR3D19P-P9NFASuxL6RxwGRcQrGoSYVoVXf9dtpxyOejq2IH2p0AI-qyIKV2NFOHTwxmMml9mXWAk2W01yOQC5SDmPE51D_cmCIczsQqr6eFpFxsH2YKXm4YqrEk1EhJoLKwshGNKo4J2aletzpIxHQ6JhwKjH3_m1W_669e7_aiDtFoHjeKVpH1rO4H_3wgyh4XLrUVRjflhTnUvc8rvuQfLCMruddzzrbTk67dn8aumAUhxbjGpgl9gtOOUGLhHUvQqZsom7mMyItFtAJ7_0zVQPhOpnUHOiHfmlWOGyeZHAA9QECZf5AYvfLITsuEut4OK7IWDAqT9EZSfli1jqX62MG9T-Pz8MhzZNXNvDaBY8Pg8tJ3jWS2ys6nA&amp;type_route=efficient" TargetMode="External"/><Relationship Id="rId159" Type="http://schemas.openxmlformats.org/officeDocument/2006/relationships/hyperlink" Target="https://qualp.com.br/?data=5OG8j7J1-CRIqNUKYvDlibiBXg6DXEa-63M5xxO-b2as55CnXW6YQrMA_iUJ3w79j601zXDg7cxJCLxzG8576OCWGUJMvXzp8LpaX0G8Qncq6Mg8GNcDXPVlPMs0DVDwAijCMa9bcpQ9LlJhIMh3JxvzMWLkJ2keGj7g3TiEPUrQnQeuBQ462zod4myXJoCKXOelVbaWUEeRXmkVAZoabeWyHT8Cu2Ql0f49HxyQHxZEelBIKhhIVVnlTSRX5ZVTaQeOYJGdzzPyYU5s7ayOH5R64ZPpvB0GaPRRAUjwxvZ2b6CoK6_IkP88FCfJMqCFbchZC05GS_h37N_16RJ3xU28_vxT1Nl1GtBlo2Ma4XgUbst44esIG_L9rGbU5AN4UUA6GSVB-K-wEDSldBKmJFrt9kjt76KncY0jeDgd_dNrfn1frUKkD6p8SLNYFHaHNWIGPL9ynN50VcBspex0pLRw-Ai9Rvt8ECLwh89zOgSUUqs7OmulUWg_bfxvk7QZ6fqgNoXxvOkrz2InSbtE7IFXZucBzDJcNlMEvO8JNwkU&amp;type_route=efficient" TargetMode="External"/><Relationship Id="rId170" Type="http://schemas.openxmlformats.org/officeDocument/2006/relationships/hyperlink" Target="https://qualp.com.br/?data=XXyJud9ylhJzjDZHsvWYdX0h9WltIIwDAtdgmkd6gJpOxChrjMiXZ0mPd4MD_t_74t8jHvseyrDN_zJ1_6dQpsw8SpZ3xdB0mim30r0Hz5qixPLqOt_g3zEGUfXcXdkHt85Wvh73Bc8Y8xb9w4iy47blZNTvC5oigQGkSXS2go_Bojx9vspBFdzHTsuGAM6B4whCwQXNt8bt9i_28oLS6A2rzdd_PA4ioWQ99jG4FXjllm_IrLClLRfKEoL93oWvnKRSTpV1AsL95U7Cf2sdE9H8eW2oyR20xYyOmjIMdKwC1l0TDeFa5IqbAm3XUO72pKawG3mn7VXfh6ArWidT7HDfLoO-YQG_mF_f4dYrtxUM43v4oPyE8bYrgC4WsywoauiYxxHJOe0BdEDMFowr4Kqd58jNxSxAitMYYlPLFjo0DW8DBtJvCwAuHDM0QbQzrW_62EME3R9aBNTlG8uaI-4mF_pdMQJvVxXj9yUfFy06HbvCxY7KEWnK3s1CKtKq_dw7Nsur4otW8VrjapiC-VFzdQS7DEZKf0IV6ubG1o9zGQ&amp;type_route=efficient" TargetMode="External"/><Relationship Id="rId191" Type="http://schemas.openxmlformats.org/officeDocument/2006/relationships/hyperlink" Target="https://qualp.com.br/?data=heaFRcwtfEJYfYxgVXKjIvlxl8W4iIwzpmTsyOdsngYjPWk0q0Iju6_oVsWu27gPfytghqZam3ueDdLkqoTtdWD8Ql23v5VOhmH08pJeW2h8ZZ93xReT0gAl8WrBDYNMurv8rDowlAf1K2DRu6ojVor3DxZsA2lp8teBJL7uqZSdIz7VJssuFCZYeOMJDmcP1OeV-VfKgVVZ58A_kb2bUJWXbOCjs5HetBnZKCPw9AbPpq-qE7I_Njch5FpChAytthLYH_aXTpj7YH0NM6oM86cMmPpHYyzSUx43fmaN4WIdgVJlOybVcMc2QOeIG3MvuqvAFEVSwqKCEOm4JD-pFNiAXtv22MUfbVnS-Lky6Wvx0byuWj4UNCdNWymzlviQXot9SVMbfx5TpEmHt130qQu8oA-c6LsAY4NjBnQngwZTp0fY1G-ap6EpTn59njiM2aeslGyt9DTTdcmMJnORddy2mL8F_wGOshggxMG88BBZg7QrBe5CaNxk4J87LGra655sUMXHu9YQR4D1bITvWnL139htB8Whg8wOySbXF3ZDgL0&amp;type_route=efficient" TargetMode="External"/><Relationship Id="rId205" Type="http://schemas.openxmlformats.org/officeDocument/2006/relationships/hyperlink" Target="https://qualp.com.br/?data=_IbhW_cZmxZ2_ntk4MU90iiSOjIeMHx6LzXADjPjALXAMzOShEyRCPLjUctDLpfbK88dKeJh-fXB-xON9LOcewC4ORFI8mcodNgSNFgleNJhxalIANDTpozy0vaVzwXoUinGUQDrY3H0syk-VIR2SXz7gVFSJLc4YXhIXQMD9kt3ZKxQx-WLEVrwToj6PFIzKtFDr0Up_tLRVUqYF2KJ69Ty_p5PcwkcbS0a_1g8ZocC99wVJz9c8dADYpaW1kv_garvdc-Q9UR0JiQKHeGjsLX1VrHgLm5pI7VAGb6uhMzXrOH3T8F8D2wa26wwSLPZYg5ZPCpKW5fleBCtuF0T3KAfx54v6H-dJQ2_zvdDMNOjegnpJAMreXFL1n66-EmEHkw5qFQl8FrkmgofLUa1iidRaXalHMZr4PiJKh-yI1DYF-Up4sYXQIMkZUwjzPJliUfhOsyZ7aM2qgdNSkDx3y7lQ0S8uqL1210ik_fisOoogkN7q_7PSefXZMPbc9-vSh8T1K6re-0st-VPwuEj8r5TR05i1cEjjkyA-Yfl73RjAbNnX77h&amp;type_route=efficient" TargetMode="External"/><Relationship Id="rId226" Type="http://schemas.openxmlformats.org/officeDocument/2006/relationships/hyperlink" Target="https://qualp.com.br/?data=12iRuvIWg14wJjShloDxB9IdZ_OMFsoONV_WwwyKEQhI1O2MIEfYEDPkdspGSnXXEhqysq_t7UgFFuNKWMLBLmdDQpT2nafUXP9eRntYxgeyho-ZpbYVN2DgFGfyUb54m_XmuaY3c238lBW1co1x8OfNnuMgVWBcHVbEKNxTXv6AMzfTuLmgTxfyzAWhfZQmOcDNIWWG-H1518R8wr3zT2fmOxYiATFw-alJVIZ-QcWYzdn5SXadG4yZtAnj3i-0_YnX6gh8hBqF8Xhqydc25Bym8DCzz61dYe1CwBinQDxrxmTjgqzjmjMcJmLZ4_CeKT_ORadjsvqT4l-Dtp5d_fPObF2Pj9-MTWFSj8P4zuAbmv35peUHODF1DRx4rp-_AC-roB1HqBSDu0JZF5n0m5HlWuKWQ_AGqWmJkEaUHZnZzrZjrXGJI4GPeTUbGK2NGmsrO65TY7yUTrMP8Dc45z27GAMOaRlpLDbDhdHVpUonY-5AsmorNPIU1jTBUwOOzXEIuyJ6canwMuNRPmI3rliF6dSInn5NYcTxrgBzpcCRaCSfdMqV-g&amp;type_route=efficient" TargetMode="External"/><Relationship Id="rId107" Type="http://schemas.openxmlformats.org/officeDocument/2006/relationships/hyperlink" Target="https://qualp.com.br/?data=Y6BUPwmfbUY8rnkB_QIJCLL-p38v-HfhXjD2Hh2dqYhc7_pqG4gsPFQzABQRAcKzN6k5MXfZYFw8rRzW7WQDjeoK_DHNKFMUrVc48R7twfhsQYkJp6PEAD6fraP-ophWWIS1lMmd6nIWTsivdvB9w0D8zG8CvDzUE_Ndh7znNgF4loHL_IQvMR5yy3EmJLxQiN58Ep3toUv-7vtoi_c5sTRYJS1EDLzxPripNh9Z4mV9P0hteNxxuL4dtJJvfF0Y6NNJrC5jnYUoro-EuNXHEk0fTS4BzheVusjvhwI0uBxCyArO-8NFUaKJvEcSf_qhVz8fY11JO1rZzRb1BalJfcSArkM-rxxZq8KHMZB56mvVPrx3S14qctNlGdh6yoVJLtsGZTPYIzyXiAw4C2rP4QZKOr-AuNzLxxEy9qSzqt4MVa6uqyXlcvLXYgZKrdSEfHMV53RAw-EgyafZaM7ZIH-TYUkv9gmeJv3WAP39jBeqjK8_dGbicoEFQQXZU3C1NzCqF6Kxm4JsrbLA2qj9fMShmMGRqdJwjIkzjWP7-S7WgQkJFnBKrGB22K04I18&amp;type_route=efficient" TargetMode="External"/><Relationship Id="rId11" Type="http://schemas.openxmlformats.org/officeDocument/2006/relationships/hyperlink" Target="https://qualp.com.br/?data=lsj36ZuAPaqOh_iCzza0pDmDCKGoyzXycnx0iP-XIDxh8bcH3EjcuLQCRUv63Gap91RjUxRb11RhVczLZG5qcDPN6SdMQfUwwdZFFKVLr8loszmZyiMKO7gd3HrTWBtEFBPMpcghpnPL87t9laL90CmgWM66oUjhdtx9HY4_QUXxVYYRYBPz1RXxRQTJdMZOL4YhcXXACyBy13B-oMWYd0-TjREj9CKqHw4H0pb-OQhGmpJfLy_N0nzFipoIDK121VBVA5v9Du1Eq_Ua-KeRlhctKTkuUrNy2CS7Mbw9PnR4GMEXHtVLMv6L2x6BqhU4PxOL8agdDv2sHoMhs6jUuAV6ZUZ5y1lb6LWHsxKelf1q7617LL65gnU7a_uXXyBZ8jzVAX7E5av5SksP_sIPCAiz0bf6XF_08RTW4Cf3xuiwLgNIRchW-eXF-Dh13NGF87yhViiJ-EWru9Ytg_eNUl0Wmplnfr6eaCYQa60jIUlZGHCJZmsNMng_eUzPlWWrOHvRQEZ3ht6vblFZ9jD4CV9tMJGceXuE5Z7PCh64fNSLzJMXmLmv3dSFHeY70YNLz-87Qsu5E3QcoDSSN_DJ5A&amp;type_route=efficient" TargetMode="External"/><Relationship Id="rId32" Type="http://schemas.openxmlformats.org/officeDocument/2006/relationships/hyperlink" Target="https://qualp.com.br/?data=eHc8oNWHsqRj97hJptxl5xuE_0TyWB5av65EmlsgRrmZ7ANecGnKfXpyMSuIVWY_-9hbKps62DhN8wEpvCTUsl-Sih1pf_G2lcwWlsGWPEv501JD2lrYIiIoGmJGMSz_RzDAEfJVCmmgf0b0E_rgQ7jJbPqOV225kKQuiZ7nCoI9ht_fwe1Gb8_Gf13MceFt4CRpg6T1ERy7-pVUlZ9SwjFP2FH_jyWXS3JiFwB3pVxbhmOTHtMV7361jMvYSqmcBYS-HbaEWvTdAdh9u0xefLwp8VVVdqj3BJQLonfadtozJLh0YHRRY75EHWVquVGel4p0udi-AWIRprZm-jiZcFvR1KSnoVALyIa96jULZTgccY0Z0P1hb_PqjBJTzPmvxwOqhYbHY42j4gC9nKq1niG47NU3JSETrU9efBaTYZlPcqGbXhl0bLVvHn-hpxqiSH42lQjhhf-mzEjFJn7tniF_EFxYXn_xXVmoGS1zcQQb9oos8W0G1pMINGAF8lfP4df-re1eujL_0sCJ-ghNm7EfdK50rMuMnG5ZwFIX8h3IwF08ntp2K4hD4NmFqbbf_rKZbA&amp;type_route=efficient" TargetMode="External"/><Relationship Id="rId53" Type="http://schemas.openxmlformats.org/officeDocument/2006/relationships/hyperlink" Target="https://qualp.com.br/?data=YI2csiAVzHW6FGiHhdg27LXkUuyP2frM6cZhL8Ur1VapKEOdefyQRkk8RSGY_454iNINRcwTwy9bl--w2LguWKsC-4m1hyrDEp79HwuOsZCSOyRJmYUlGWJ91QP3oT40CQVx4uYEeGQUHlTcvDx9-XR0TKPqplNFVF3KSJ8Enh0D4fMuvx87D9zxNMd6ageysGt3S1Ya4bG6OZoSGgRR7SC1BFMA_j0EBk3xOhUc_iUm4rVoj5shbBtkMLI0Ob-D6E74hPUl6TVRNXFfKdi9lWx60QMwRd8_KtRSNRNqyez4__8_95eCwXE1wKc8UY84zc_HKpe8U_LvO8nVIhVnn-jchufZssjJDWbl7ptFn5Iyi0kWDbD1I4O3W7VVADTQ_Pc2oq_8TQt0GIavJ_wZcUXrE96oxFQZlmUdc7rRpprVuEp7m00J552N7BZs0yWiVnxJgIb0KtyPdlCKphKy1rDGVbkoUSpFajLN4gfCMr2N-qxbe8yjQ3ZNAtUeDZ9ysvWIJEGxwwPIlB9wMN9Hs_RMRz0e8uB-1avvjXxIuhBZ_RnDvA&amp;type_route=efficient" TargetMode="External"/><Relationship Id="rId74" Type="http://schemas.openxmlformats.org/officeDocument/2006/relationships/hyperlink" Target="https://qualp.com.br/?data=xoJkwCPKYW-drBsrjTB9Z90wbWvkOqwlq7_4ZIaM1gMD6_lXXmm3lncY8bO2wqj3HDlrc8EDf3bw1adUXt4n2X2jKAFmp1wUuqdqvasWuvCCuuofHtjYR5rwL1w1uyqKkmQnio5HKuCxAMc-LhvK_Nfuor9yI45sdfb6hlpLtejR_ToddwxZEzxmqup-gs1cVpSwrY6Z-f8kKXl5taQerSx1b7HGnUtTeYvXn_Ap0vdQen4tOFIe9exStq2tomqTmoOgK1ZRCDQ1FsWVQ5tzHxI74_Q3CHW38oYjl5aWa4-BEnkQRFY6XOPPQ-ya9GLQtRAf4kxkXIC5XM5Ac7EMpyEYmL19CZKUBmgYH9h_bxJ9ZYBL-N3qdVAZoAL7e1vtCmohc90Jy3_PZiJRj-6m6ag0rBR5TIBvwEygOOVl9yJ9njmwhlgmydwtUelRgijFSU7_jlg08e-8HFBxsf-iTpRhuiSe2GFjVrutzm60VA6ctvSlb5o5S4XMd8fIJ_UZhbXHCmL_v5hf7F_WdnGxWH84VdbsZt1vRyeL6N4NSLJ46eC5Ag&amp;type_route=efficient" TargetMode="External"/><Relationship Id="rId128" Type="http://schemas.openxmlformats.org/officeDocument/2006/relationships/hyperlink" Target="https://qualp.com.br/?data=uufbbK3csxROIPG9pIMTj3VCYR33A8dyuc4rE4HKhycaoLKN6jAkEFt0PukkcMgiCZfifK006ii0K8khs6gBnSVbmoLQIu2bgo3wSvdDlJVYC-sVsCVAEQInd3NbB-3QsnZGVYC03JBB_lo970GVhQy26qLwA68GvBJGaVBLjdEkYf4Zkele-cp4ysr7WrqUBfJ1yqNXtGupMLsHiTMUFXcph2NtzS7I4CCgyQAE1WPnRvP0J32NK0Y8qGsIa2MLbckYU-e3b1tmCmSNcUXqCgJ0lUCpMK0W5ojkzDTcE2ZIYLCMRF004xqK-2Y4ROc9QEoaME5jqP3qMr_z1eTZoHgtsEysh6XMROTWTojH8BQGT0h-8Xj_v_aCgH1oB-F_lB7nvg_WqGj4ooPNlGIvaS3cii15TX9Xohdjf49eXBoeEkIL0f_830pVPkEeYIu5OsLgGk_PamJW-90I8BDCDZKj4rgjJbsvYusQ0Hqd-UmQIysryGmem_TLvu0XvehIQ_tffj4M5134AEvNN4QZ6PruASdLkp6ydB5HigOCaS_Jf47mqpub&amp;type_route=efficient" TargetMode="External"/><Relationship Id="rId149" Type="http://schemas.openxmlformats.org/officeDocument/2006/relationships/hyperlink" Target="https://qualp.com.br/?data=3EsUJ_4Lgn_fjt_fziHnkMMIZyBpn2lc-OtbhYzm3yyRY7mzpRwlOaog20DvSpBO_GanuBKC8lWyVbRmKH8V7h6tRjfyPy3BMNbJhw5OqZZtv23zWShUG5_VcqkeWIZL-N_5ZE8GuXHkRHdVEsEhRNwYpwS0Luu_sO6_JPKLl5-1hrrvmOTZcpOXxoOXAPwTIVK9kIZw5_SX0EHVYtXWdANAdbXZkQcQDkUB6dtrxCDHvl1RbsXiWNGfOvoXWCPftrBaXLQGtiI8u3zLLKm_LP9rU4wQ3ygXDgy6MF7q0WIAr1-_0cO9lUjhJNswjZBYi36OYHFssHOEe_VlMChdq2ZecUbf09UIoITFckHqhNFAzrkr00bd178j0Qm2g8N1Sxmz1K1GeHD2eRfjF8WRlPud6986napZlHZ_VqKZh27sM5gVy0E2_1wcr-SoEifFeKL9CfnzZonaex7VpRIUZBnWH_6BuMrwhUvDNRYsZI5eCaaxsnTBiWmZ5IqXoa-QD7bkdEnnswnmMAlcK1VWCyc_ARSHP1sEpe2VBIErM6TxLGeY6vA&amp;type_route=efficient" TargetMode="External"/><Relationship Id="rId5" Type="http://schemas.openxmlformats.org/officeDocument/2006/relationships/hyperlink" Target="https://qualp.com.br/?data=4AfQ-f_qmknA62mb-7hGVvDJAUd2KsD6OKB1uzXLB3ZM7qIS4xCBGcd1mk6MUxPw_PvfqHA0EfwnR8DAM0CQB2SJwREOOfl1kdTZCAQBDGUNRNRPQpEUQVFGBSXlvFkarj7V_nq1eF77ctO1uu-IVcJ8BI1UMwV88QJvIXu46SEZ2G1hyrxbedb2TFxc1cc9qd-TeH5N6L2xh1oNCqa-t8UM5E78_vTociS-MXiiYZDvXa5Xns7qpLTWIVyDho2v-Q2oYu9uIHLOfc4X6B5h1yYg4YWye6TcVKWJ9yH9ZtyycupLUS4pqz8cKQjLOVMAPNY7BC2JvWcYkQ4mAtTq_i0vmGXL1iNTaVuUTioQrpBidCgmAr26UhBEsUWT0_oaJ0lsLPM1AVUXXAaWXICsUpEd_UVkIDZwc-DwwdJbZ9I6ZPqX4ZnlI2pyLS3m-_9SwyE8wUJVbDu8BXqvIrdu_pEW4WU9sep6pKasEIYWJ1HsxEniJCLdJJ5TZzYEV1bXptAEMZpiZ3HYgNgOt1SqqtcruiOvku7UFXRlz0AUH5tU8yOhUTWTvIWK34BroKKHpfBx5A&amp;type_route=efficient" TargetMode="External"/><Relationship Id="rId95" Type="http://schemas.openxmlformats.org/officeDocument/2006/relationships/hyperlink" Target="https://qualp.com.br/?data=beGGeHv3nZ77xRf0WLPTf2CdAFq_hqQsZHmZRIup64zXjzaZcdu7qYd9EeBWZSDCvYHXgntNTYVQJpqQHHD30mgqXoaisIq5DWatvL2OZN9InX59VFJIAlJoiRXEVPH4casey5VdUlZIzJ7XemhoF2Thx5F_UwMnhm-poWFLL73F5BPo7aL-38VRLXrCAJyUUITuM-aa9wSBVW45snWBsfcnWXp-XMr6yZKl2_6t_FjFFLPc-OHAGRL5_vyooa_CN9apdjfP9YC1kDCgHNyIN0yvBw8g97hUIWJkLzH2pjXT0e-GIkYm2MGqFikEHbeuG5grIjmFUwD1vHyx2fFmhmrQAoQqF8394nh0a0cctfafQUGs88OEMOT944EBt4TbUKHhQXP6ERc7JUuGEs4WzQdEfoX4KUzgNrqeW-uCozuVxygudLGGJXGjHS_ljF4MU9OkkdxB-VV2ifkafWtyZjc2gkaa95f0xIkhESyod3bBAP_wSy-LZHcJmviblYkrlD-q1kRFsTzbqtgGkqv6qD9BNVXorH0PoyDcIO6YvRQyuQ&amp;type_route=efficient" TargetMode="External"/><Relationship Id="rId160" Type="http://schemas.openxmlformats.org/officeDocument/2006/relationships/hyperlink" Target="https://qualp.com.br/?data=EecRhzz9lVjQRWSbA0DnotuMj_4d3JnA4j_g_mV5PMwnr-MQ7OpIJh1P1awBar8re9Qz_Cd-DbYr8cADnlUvGr9zhHwdkUZlUOn7AG_9tDvD1QQzNjGu7ZuAZxaM_Lj7T_skCaf3V92_QxFbUcclg1hyka1-eqFYHvoNzi-rSVziVRlGOXtq7SrvAfHLaqlPGYVXu1UTLNBAq075plXn8S5apaHFwvx2a_pSmCo3INgbSoGeUo6GiRS4IYFrPrnFGMPxEPYD3xqEuyI5wQfJkB_BJHprJ4NDb7e0TcZyigB-otROL91gG95ahrt4GiZSvFUIGQwClmkLlpZjc5PLp3hPyeXjqQNjCjTF0oBuIkafaD7EHuXbmvUSKuN5alQXNHTYMLN7Y5K_Vr7rNk2KfpFqjX7Dyo3A_9V_xiiHZa5_jhH-aIAQDN2zq2x86kaJFTEGYpW4WFBemm8xoaUJqArWQ0XoDfQ8G1uBGCEDLXMabNFhF6xuuwPqwwkF3VdjSfBcuI_lQcGIwoXhQHkhOLoMN3-ZM8q7Qr2iSsx7ikwRtbdOyYtvRkx5&amp;type_route=efficient" TargetMode="External"/><Relationship Id="rId181" Type="http://schemas.openxmlformats.org/officeDocument/2006/relationships/hyperlink" Target="https://qualp.com.br/?data=0RC4GOr0r8BIl7evwIWr4Ehz9upEwRGbvfiQvzXFQ0FnQBQFqNDbiBwluDWFKJ-K2GnvKlP7vo8aU9mO7yyEmVfO5GNaXWma_LM0bVN8YOaOFcs7Bq8UVj7bpKIHAa38Pf_-qukgHtY-oRP0rzCWIWN_YIeM6C5Z9qzS7V0kcNAACkRMbmn8xGQUlQ80503MDEC_3VrPjN8riDvo2nCJ9TAizGgI6scEi1234KCcRoHfdb2tE7ofhPpC3hVwgKiM2TJU1ve9j_aV2hF4AnBLsE_kYIp-J5qDIQwAMeawaW-qier-Ig1dTkN3zCHhgGZK_CrMyK--3SDGGSYp3C_MyPb7h24Cjf6V-zzueP6e6FG_ewQLe309k4VKZKRRAjB1VR6WAHftuficcBk270CFYv5fqkw1gzM6LONQ8qlE7JT_jIkgTBdYatfO4ALmF-bI6vOrt0k8xseB7HsQsdJqUs-1CNYG_OfRBQgIq-TC2DSsEqr3ztEeFnCXOq1oANmIN3vrWpB2jhJkvPtmDzOnG-7UWxFWXHB4e0wedIiELvixAShlvu6gmd4L&amp;type_route=efficient" TargetMode="External"/><Relationship Id="rId216" Type="http://schemas.openxmlformats.org/officeDocument/2006/relationships/hyperlink" Target="https://qualp.com.br/?data=aTQPOQrj6FqHd0YwaDCJTmBLsBpdmcCJCY-2ARcAzsmRBdRmajOvbkiVbZ19ISZiKh-iZ10gFkdhNosOCs3K0UnqsCuSPcOCjn5H3LdhK5bd2A6xgkXWw2rcYXx0rLnWUcecxeOaeZOCMmFcx03lXrKF_-bRw1St0SZ2Uk0576WGcrObuAnJSyhLUv5U-d8zw5r7YZaonhlWKGwpEvYsGayWB9skr0a5ItzlcgebU7j3KavhHFvmcp_6JoW91CaWG535lqihuuaxogRIjlPvvVSncdEE3Qp-2dy3Z__eJDaVDqIYBBxBhL1FlwJtalFh9tGzftl944Esjqz1-3wMTd0lqrd4wYYPBqiTfhQDewd6H9OQ8hhmQLRtPQMOcZg2-mAMiP9ZvseNdL3IaQ5X2NP6-5dMaFmXRCHm98_c5is855LoymQ7L49U3CpwzxHxdAGfCk3DV87mEKg8jih9MIYZwPN8nghd-dq1rhS8OTv-u4BgGcwr1jGjxNT-fYmWkjq0R3jlG1YmeKbhEF3RvwZ04v0I6jrcR-NEjvsUnqe0gX_eqOk&amp;type_route=efficient" TargetMode="External"/><Relationship Id="rId237" Type="http://schemas.openxmlformats.org/officeDocument/2006/relationships/hyperlink" Target="https://qualp.com.br/?data=YKqVMtgAZkd_Nlo-z-ecuni9mJuYoIZxxEy0Ba7b7upGiQryfYk1aUjHWoG3T8mMTacr5e0WLrsMy5pe1obGm6zIuM5E0qfWbUnKG9KCffDu_P6WLPaHmqBWH0Hoj3ZxKMOXxee-VxIojQrjtVo-VJH5rvAuKfaVMo4rz-Ta73uuYcSZqYO4QYqGGBoVvuB69H19e3ualjyrrvx0qCY8TF82fLiAXx_TdvH9G6E_aaVvUgNjpGDIbECIkNE4KrI4CMh6CH0_wwDoDB15JOU5E9vZW70i9UxYDlNKlq84T6Sapt3HJixsHciSHHWKRp5XzZCRRCnLaCRnmT6qZXGP-bwV6_Fjpao4IobDMO783qHc_egQhhPaJdU4_8tKOAQETtLqdFNo6J85XMd6iH2tvawLx8PbIUa4IjCuq3AzRtOZZJxCd6QB8-T8ZwLLXlOf6zfaomvyG0Vw3qIjidQHHyimFg_UtUF_baUFZH9OM4uoUjAITr3YBxm73aIWsz8r54x9Ryz6f7kOqS16onU1EVyngjBGvD2EU7U637hCBtlNwDm3QMZ4Kg&amp;type_route=efficient" TargetMode="External"/><Relationship Id="rId22" Type="http://schemas.openxmlformats.org/officeDocument/2006/relationships/hyperlink" Target="https://qualp.com.br/?data=VhZvUz5fccPTU_Vzoapcr4CecR9Bxg026inpHt4vc5NT2U8Updd9riOuAS04dKGVEXyrnm_BBkJSgzrsm3FNFkAOGIQ4zHNUwOVpFh-9iXFiB8n_q07EjGcpKlMyJS6WwBdVwgoa6hVh9aGBvkztXHFUIKaD8MnpLXuRjWHIQp8uS20gDgs03kJnhXCc3l3NGnMvaA1OQzKLZ0fMckYGE_bCM-fZympuyg3JMg9R7SQto3fisnU5ruk1QpnMEkJ0gl9TWE805vrIabb41jgCLX-_QXC99rsCaSVH0BRa_3vErAthRYTH-J69pC0HNBw1pQ3EJAMr30Obf_XFaYpJGkgbA8KPCxeUaYrjkHcHuaUUyTwkt2V4XWvDMY_fjBciG1XqOkqlToT5s3NkL7VfOESyr-eNTyiOyaF9GlgTWb1sc5uWMbewmhAdnelEF8BzVq7LwrkvduoRcmjcU9NRweYey9-XGTTGlx2sP9lYdiOCJa4E6PxDiYVt9wXMRHuwJR-WulMvtzSi14CQftzxWDNXPtuSgFd_NsFAjFj3n61AbXDpZM5QAJKQZrBRKf-oXmYJ9c3gKUU&amp;type_route=efficient" TargetMode="External"/><Relationship Id="rId43" Type="http://schemas.openxmlformats.org/officeDocument/2006/relationships/hyperlink" Target="https://qualp.com.br/?data=XhG19owJX_X3PmQnRbDMVkxNgFN_7bvcNAXgYM-bOeLvPl_ZYKrKTMYKIWbXGL6aTErrhHMp_EPPQ9A8FA89gtLE55DRn19IJtyQkAHxcAsLolg9vyRK8LGBm0DgOcldDJZ8ZHma0LOv0UqApGC_hiUJ_AI-oB91CXZAxVYcN65Bf0bxu5rM9WfeyYZ0oWEfi5a32pP5eGQ7tXI1bi1h57DmGpUaDgxHeNYdFUK1s9Ly9viGSEXV295pMODBXNBnbxyf6IXSPzgSNd8Imhhv9o0n9TlbZko5PDhAlgcvbzLuyv_Iys3D1_qzKoc806LcZ2t-XjogzFW2BpHJiJp-oQfOwOgX5YGBljm2DrZ_imAveOjUxIkyCLRN34J5EBacfQR2qYy3-Q0gkr60-PwAiSS8a18ui89dhxAzVLyhfMu5KB8JvM5ERKz5l9U3COopGprB334s0w56-nVn2T3ZgWXiWdla6YnAUELxZXJQJqVWsJTzofXnXWI_ehy-Xvw1NyWPNgvhR06M9siZdi22e-Ja1eU87wp7Ct6aaD98qY-bXKTSeemnvCCOr3sD9VWitZBYpo3k&amp;type_route=efficient" TargetMode="External"/><Relationship Id="rId64" Type="http://schemas.openxmlformats.org/officeDocument/2006/relationships/hyperlink" Target="https://qualp.com.br/?data=MCxuaZJ3-M098WGxDg4LNWH8WvpylXsqdOLmXAxuzx5enUPWu_Vj9Q37izv33AJK0DH5Lf2gYC8FmVi8_-dJrrFfxHCOnf1EJcpXlVk0m5pIYGI9Z7dzVhHYXpthoyQLQEa9A7DosDVWqMW0TNIsLumCnF60CcmZkdJWEeCtIp7Ec2nlLTVqXH5OfSTdzNk7CNxjX6SixU82nNjEjnzqbdIKuZe3RibDKcdxsr0nPi8fqcnbubMYF5LOKKVLrWJmQrGjdRSTTQHFXOEbEeMQ67yfUJBUmduBkziYTMVp45PvMv795F_jgxbZYJjLSQYGG7Xhp6updoyStYAKQWS3-CzVvkMd0OMQWnxnPO0n9zI0SCHP6fUc0VwJwFeUeWU-dU34CcU3SQBMHH8qy1ohBoJAV5mOXJEGGo-sEIXbBHVcAXsAHKpYXtMrfIw8vXeYt3XUAOlzOZwqH3gb8-ptE0emYy51_seWv5f3Qjq9X_h1aCeO2d8nHFB4GWviI2IxTx0NmR3FNq9YrZ9TDq2p3daSgkOzYMsVKPqfJzvhmLUgrCpmUCap&amp;type_route=efficient" TargetMode="External"/><Relationship Id="rId118" Type="http://schemas.openxmlformats.org/officeDocument/2006/relationships/hyperlink" Target="https://qualp.com.br/?data=ECWG7Px4Zv1AQJnTEuyvcYKP_jx-Ke63aF1NkHjIB29-e2G2agLRrdsIOprVX_anLop8cpXmWaQsQ0wOS_fd7xoZ4_Z23PPZLy7X_G_r8FmQ3Nuqmgdcf24GvfhuMSnAcK-eFDylZSflfuFZ0F84rF-WpUtEtGcQzqtJs7ICxGusPDiqd4hu71CKp16PdVy-47HAbqNlmdOnRJ859pauaXwhbSuDsTyM7ybx1EH7AKDFoYc-xctBFqH0wMbyqiw7GEHpTlXRCvpdK3QSDdE-FYKtoO9RpvpBQ3XrN1iBVM1KOj0Ef8fhlTjQa5O9rZhw2U4ze1EG4AwqB_e5M_B8lmKWuiWShmT8j-_POK__IlRxx4QwvdBpyFlHengXjitdvu3xDdFG0UL5LPbpP7zZIaGrJw_Ix2Sd5BYvsI59iM6KQjHfTLBcUlIjKmaUehm9NwhhTlF7VXq19tO5y52EZuMKxHz8HsBlxsWF-o5I3xfGKAFqPQkeK2-DrZM-RpHMZb3236Dn0dIkWyhvCXnVTvJ8kWp14OIpemGvOA9SSlYfe9g&amp;type_route=efficient" TargetMode="External"/><Relationship Id="rId139" Type="http://schemas.openxmlformats.org/officeDocument/2006/relationships/hyperlink" Target="https://qualp.com.br/?data=NgpHO-zS2CDoqflwgXodshc7WF82-wuxaTNV2BdXMcaHUKj6hOxaMpd4tYmcg6dShleGTl8OzlqEPnU50UQiBGkngV0ljY_ETR_iCRf9yXprcrcjQE5LYCd86BQSPRjoIMWZopcIUkVucosNRVfYdDqmAa0DZZMLxBCt4NqoEjymPQ1eSr794rdfez-uv0S2uZLQYWaG5Fx5lLaqp5KY0hBHl61EXUaCvOR4xQOJ-L2xaNshJMbIpGObFsmnaJJlXVh-Ve-PzDJMKJwvpF5hY1Itb8KOE8KH0c04hVzqT_omEDOMgGfoNccShfSL_YupMRqXM6EmgSZ6LXQk2w_9wpj1gyte2raL1pliWSb6A5n2i-7c9dWqC0OiPGb3gbnHeMiL7oT-8LC4n2B4E3VjcQiKTynlxI7CiDxbKV1y870GFhVV1mDrdpkkXEnreRTAsjidA1INpkibKXo74MNz6Q7s0IZBVjc-ECSdXwkr3R4h79D9zUegG2ruc8EUeeNjR39vVZNDsogFT-BXPXgcuWQaQsI5oJ21_l81z3dO&amp;type_route=efficient" TargetMode="External"/><Relationship Id="rId85" Type="http://schemas.openxmlformats.org/officeDocument/2006/relationships/hyperlink" Target="https://qualp.com.br/?data=MftEcMmbkmjawlH6E4XQE5dfMj7IVg4ZfBOhhiK-XgFR-g57By04YHo1uWPdmxENQxawZr-gR_SHb1m1E0GAm-klOaIc8r0_U_6Fr7TQRkze_uxOeSgass7e-OYqQBrtjhb5tAvn2Lt_UM3IQHYGyTnsT7s0q_Ljrsu_lOr1K6fnhvvIMPwOtv5igdIeihbckWO4nUy3d4jonkWcOIGDACOb2xkSjYlhkjkZCyHbYZPWsWc54F9_FahrtcviyW8oUyFUlKHI0iQYnV5lIDiwoX03f7rnAwETHW7jl_931jSnWovzfio2NFRmqVe6gCVuISSgtyIJTXW5-8IryuVcFXPU2eKWcb3fDkl1FlCHTFTPH3ThrvRBE4HzfIhcqPdoEK3XqVXduE1gSxYgbQ2CSHlyxmH6xQQF9aWebcGh7SMqmRJCGtjnV0QkJ5TA3_BLNbDAtu9uAo_V0z0yz4mR8lIiWzQY-X-cZwJJkIc8druiJ0ae5skHpvvRkLijN7DU8gmp8Zt4JnWJfg2f_7YFKlTAgRCAdAiFNSv-mdvzZn9c4CRAlhRu&amp;type_route=efficient" TargetMode="External"/><Relationship Id="rId150" Type="http://schemas.openxmlformats.org/officeDocument/2006/relationships/hyperlink" Target="https://qualp.com.br/?data=9jCfRS1OKnmwFtPVcES67HZD3all38Bsnf8fmoKepSypatMP3VIxhucqc0Q_7pq77KH0rpdbSInDH8TmbZvBxd8qOSuwS2b4qOx35VkzPBaagwrh5Glo5ZGLaQW-C70YV9mHc2AZccDfLTC4zbCLOVo3qjboa8G5g6kW3qdDzv48UaJHvp4wYo2pqAPRp7MD5TKSose_pYC44accYzoa_z4Uy-0IEngqowvU85MYBzWG_cmwdmvF5Q6rsObuliLxG7iYQGT5rYYpC9WvHJCPM0k31NUpixtrO8XtvgXIPyf_kpJCmtB27dRPQ7X9JA4ZfeN9EbiA1ZBZ0ZLv5gsOZaG--dBhTKaUFl80ufOOw3Q_kefffi7g9MnSwiupSIZlGhopdEiRIkfrUJP5mi0Tx-Wwe1i9LvttVl-dCrMR5U4ca9EH7qyznP4Xsd69VKBj1zGB7ImVLsczMzeyK6-i2_ZlU9yIZF91huaIgWCIbRc4jlcSEu52JVYQt4gV6tMUMmMh7AVB8mTRr4rVJUltK6_8TsVBJ1wPnrfh-Br-YygnLcLixEgkrScOYw&amp;type_route=efficient" TargetMode="External"/><Relationship Id="rId171" Type="http://schemas.openxmlformats.org/officeDocument/2006/relationships/hyperlink" Target="https://qualp.com.br/?data=sdgSBhN57uXQR5Wzlj8xEIktysidgD9ZYPsk39YpxKemIrXL7H7p7dbs1nIt_c2ZE7v3oewUebbHfUBcYaYhin1hczerpG7cCVg75704yYkHLEfV4dl5_1xS6f1__IdQI7b8DqO93UIby7le1ir5NvLz2YBKDDUDngrLEwGeKYk-CvpskQFTAkKnUVLKKnhVQBq5vr2bJJcKmo1g-G8wb2dUZq7Km5JQrPGTzO_sGcODpX4phVvlXockWc8osGmjkSKn8gH9XkCmkBc2qG4LJuwZ8kve4Ux7hk_fsTqE8f7S4bmKXcZwM8Yug3UIRHoYvMX4HlxyKzZLulBFJbeoM5Q84pT5vURH6HNhYhbTnL4ydTpM6JQGXhLNWS9MbVHygd8FHbKFZe7L54wdmesR4_tJyavgoiqzUP8Ex3uOuI6_tDKR-cqzqYYtEX4QRhkWdP7Mrr08J2ljfWB46Sh9lk7l48CKHZ5o8T5NkGg8ql7Cgfy6QJuK0qnItI5O8hwlFQX3gCyyTPLUI8t0dH0pz740_rKovz_J76j6GFfE7L9hFGLcq1HaL662&amp;type_route=efficient" TargetMode="External"/><Relationship Id="rId192" Type="http://schemas.openxmlformats.org/officeDocument/2006/relationships/hyperlink" Target="https://qualp.com.br/?data=18Jq-xfVLNwRUJrPbNlWBLnqHznCfqB2PEW9znEmnCughYuP8_bvJXb2hyyXd-wTCQqC5GYOjMe8sun2czuyGRbeuOts0KXy81x_Q-Luto1uSBU-jB-00nL7h9gvqgEz2CRtqVKR828e_YzT31tK_hgoL4B-bhWgon00SzF15Ekucb6uJeXIpfYFY-Od5HHEXRtWmPTxdDyNW8RVGObi6aB-j4ItykSKqtG1Bv1NmsMebXY6BQ-vHt4D2aD1KCixp7Qb6Bg9w5K39wNxs6HXi2Wm7S-vSNd4OCeuk5mTaAXGqtC2zO8ieDJHOF00QFrOmzpoFjo-Qv3ZYGbKzwDXXn6RDDoDmaYsyfcD1u3hiRKezRh2q3HKQsWfEiXAFDNnu7bSAcER_-rAA7nX2OVOIkgcFOesUNOm9tQeg4MaCKUkKDF2pTjdBRiGHy_UEYozVnxbgOFBPN1YFTS_VU9Hn_BHY6mqRdQ2FsvNTp7LIXX2dC_2gZQGukC5v_RGDfmP4xiJfzculEHXMUrPB9UEsP5JSBQMGBzQtqYx16L7bud9jKzxEFBA5oKWuQzknwEe&amp;type_route=efficient" TargetMode="External"/><Relationship Id="rId206" Type="http://schemas.openxmlformats.org/officeDocument/2006/relationships/hyperlink" Target="https://qualp.com.br/?data=DbzMk1Jz_6Z8sT7J94DDQ67PjizpTaui0XK4Y8uPi7yvkGxk-8uX-KQcLW0TPtJg-hVUheRL6-1d74alZ2gIrT3LKxHCBXuysyx3dEafhvY7LglTtShnivV2RUSomLv0YsHL7pTX95Dohov4xP8x3GpbhSC_QnwHwEPmQzw-e2Xx5DuKMmALi4DMgHqaYZ6_BWLFYmlp5FqC3tt6S2QAKkM7Gwft1J_lG5FR6He6Bl47D9O7tROOKS1tZ6RMIAtTCzG0_mq_lErE11vyVPmT25HSe6panRy6Je8FO7ly81AWvFTA-iHLJ12wosIICj5CVf6NrWtPYXI6nydEZTfFToGBJ85egcwdnbgTqF-sZMFxNGcbNT8uM5co11dIm0Ma1vFXzIKmSYxa3u6_0MKEXwsxzp-51Xhq5yMEEKNBLN0QGSfW_Ex-tvqYhKjoh7yv8ckPZYgtiZf3QyTzVauW5tEzycZJqCnbQuro-Te_IHD7K3hlAlKf5ALHoFPpJ4iU9vcYp0OmReGtZZZX71fzFNSnKRotljaFHgDbGcSHn0Uu9g&amp;type_route=efficient" TargetMode="External"/><Relationship Id="rId227" Type="http://schemas.openxmlformats.org/officeDocument/2006/relationships/hyperlink" Target="https://qualp.com.br/?data=CSFXAlVrEhm2GQp-TmhIDQoTZex_2_fyA0S7cAh2UOj4XpqCpsOtbfnECwhvSqY3aq4nyFVVexe3AjWh9Oa9HjeMexdMQ9pXLKPOLZ1Przxs9nWhBKUKgKV_kELVyWnzxEBwZqOUcing5MnLqZYrNsJizanLOWIw0CSWmLdNMq1rbHaCdvd1wxA5vV179vHf5NWajPlcjk5o8gVI-C9rveYuJOh8HXWLr4YjqNGlUn8OzwBaBOD5sVfGQydJ8HjShYbnHl0YPs7X7GasLaajZGpBNYkeSJimWNNU532e1TSHjdER1vlRi7XDgIJa6PyyXCzyZPK7dch8sczVPjuVoolnBnNP0WvFecI1Q4G6CDe0Mvd7F3NMfjcJ0KDI0AZR20vCDJIIlfMgNA7MSqM3LWqz-WjQuegYc42EiBnlVZ7hNa5_OfKvF64StOwr3rQBabwvpLlDiUzrnRVqNGgidYQE81YJYx1BymE8RNbVth-EYh6rhe8Bmrmz_Rdjaihz0k3WlfFBpBmxy52VBo_9d09jZzC_RJEeKTdpp8lrLwML7uffWhzL&amp;type_route=efficient" TargetMode="External"/><Relationship Id="rId12" Type="http://schemas.openxmlformats.org/officeDocument/2006/relationships/hyperlink" Target="https://qualp.com.br/?data=W7LtmxqY-jtkFgFwv6khIi-y6rUbwiLA1d_-eN1UKC0QUuNy8PamuWqynrVQ5nm5XU1jEy3izJhLRzOmDo1_uYQqLYbjFMt8v_nHnzSrAV2WvWQkTgtAWD-Si2h7ndzh9PlZIfbF77fMJ-zp5GHEBd3n1mj2PaEt-FDXf9MQMP8vB9wQXWIYAG2FucazOKI8B5F44uaBuanz4bgTqTKpd_2soGrjdpWWGzDOzDaW-jwn9BK_FlFsrgm4WhVp_bZFYStowPe3WCo4CAwaJBIlIh012UrKpl83HvZQ4peZCbOEcrBvewWkN8lDnIz4LP8hw-lWjT6z448e9Vyl9x5K9LfDj7N2OeX3qVN-BHpa0JRlHyOkrkucYjEeF3UU5isitjYoDxkf9hxQNnIZ1lu6m6EqD-e4ETqMs3Dkl7qtrHyZf08uMHrpB9KoH95s_Y1Z--849N8HXZqhF1uJvIDwjPk3wePubY7Q-kTL5DOgn2pQbB7UxhsKG6GneexmgNQkO3gNA7GYoa7mQ5E1pXYcBKRSU9cJHFfcU0MuCWOPnetufHCqAkc-_I4mvoyx-tionOVT5lw&amp;type_route=efficient" TargetMode="External"/><Relationship Id="rId33" Type="http://schemas.openxmlformats.org/officeDocument/2006/relationships/hyperlink" Target="https://qualp.com.br/?data=-I2R2aUmndxFTaolydTf9KuiFODC70wKBqY9bzV9Zsfo2p1XQraRGpl7dZBopZi58wqgmi1PkizIFsV6otklOyAA_3n5kKSGC_0l0MSVAv-Z6EIZeNpKi58lo1mq1FkYJWCNEBl347Zd_zkyAAFymxojYN8jdnmhN1O-FPirhj0eRITZAI-IIQGIh-ZLNwFgQhyAXD_5EcURFS334aCrMTy60Dz2CK1OsnqEVWiF8wk3OBjbn0Cd29piSLXcwmfwrwECXJ1aSZKQOtuxLdTDi4mYqH5Arfl-6YqsbYx0apGpzrEiw0b0sHqbLfcTeMFu7v5-8o4AbTPBI2Q2-K0G4hiWAmNX0IzsG2l88b650sp_tMETt2gzl8ivMgQ9kQkRv0-xHg1kBms-bzPRvK38OB_jJ06G9I82oshRu1xtrD1t59Lpbclpb1s8FS7cOmVMbaVDKmwp6IGnhK2FAqhdx94TGeEfhNzpMRe3SQFq_FVr3QSz3kT1g6kozTZfLTbxJD3RamNG3n9One9ZMowwsKCyCRGNh1k1xrRHObnOc1tIlO0fXhVEEEjejIrCRhPH20vt&amp;type_route=efficient" TargetMode="External"/><Relationship Id="rId108" Type="http://schemas.openxmlformats.org/officeDocument/2006/relationships/hyperlink" Target="https://qualp.com.br/?data=Dog0dcQo6XcjMcH7p_qkcLcQrxzNjgRemliKmiynjXSZ9w2_zbz2ZXZTW-Lc-Hgj22l3xwWl2G19gTFunmfzMRP0DymcsHVRzkmDE2U-KNyxFwLesasulHaJt2YZvhsTj_jpZIB9GyJr1Z8FhltlRRxkgjoUkKaabHhyO1Wk11h8N8rtLhA4ClPSz45B5HDfxk7e2vrGjxlxuOqHAdlh67kL-I_1CKcBO2qIWcuOuAn6tp5b7lHvNsP56O4WGeUiwXrlKkkyn2KOZgLzAxJYf9-f9g4rYlQz548xF1GgTFgJ3aSwd2FGEXBs0aOTOtIY8_vaI16VMMsYZo6d5FXjZNha813i5LlFYaA4_OxfJVwRIXawWkd0kyEAxhY_Rn0ymykvZWJHD7MkX8koBHI7zIoTfW29g6kNRcflOtMVA6k_RTSCTQHVuYPD7kfw2x35kqKTOT1kG5c8WnON1xMVwCYWkX-7IdQe4QGefk4-YUPme1AZT9VnwiaOxYd_TzUHUs2KYA00RKXcijci70gFPRL327knVGPO82uXY5FCwhV4f7RS&amp;type_route=efficient" TargetMode="External"/><Relationship Id="rId129" Type="http://schemas.openxmlformats.org/officeDocument/2006/relationships/hyperlink" Target="https://qualp.com.br/?data=Pi0y-l0hslo9OQo18k1KiqGFdeFKO7VgujEy5c1NY-63EDWph7RIejKXZ3nIzqYg4DdX1CEk81dMw8mR_w3z3BLpZD2ZNGlA3mn-dY1Pq6Nn3GQ_hpQGPGmiZeanEBJpUJmnkOivdmYNn71CdnEXr_619YZxurIKrNsE4KweR1vwmdhZiinVWl_f3bNsv7GEPzTG5b_HWd0nLj08KPYM40C-gqLWcSVUgVPC2C2JyvhC6e0ygCOBcbeyp1FhxzD9gmtJuRj5olWDhrnBHey2RP5J8WYCxsqSItTbeLVT4WyG0xBWj1iMj_K_U3t48dxN0PnlW9eslbLM7kZ1yPNXXZrsiSV5vISmf5kHHdNARhA6BkqZ9rdo76mRMm3PbUOiM7d06C3a3geCWdI68J2_iOyMAay-_h6S7VIeDuhhRstd6_zMQqe19UuZdp64EzIhqAXtH9KvURwCfqYX3w8KRlc56VR2GwY_DMP4cI2KHj_w-yN9zK4_c4DRRZlpXxw_5bJB7YyyBabDaSmO3HuOUIOxlDGoHN1Ua86Tr-EIowmwZqj4&amp;type_route=efficient" TargetMode="External"/><Relationship Id="rId54" Type="http://schemas.openxmlformats.org/officeDocument/2006/relationships/hyperlink" Target="https://qualp.com.br/?data=kJRMtHpPfNC934Em1v5ALT619p1rbS0NdI1iTyzji5tnif8JP2sWUiVFFxabROsA3_DDEj6mm-BlX_GxIGaj9Yl1nghr3DFPZwlKuGmL1Ep8dHTPD1Gqe32Imv-EMEjN-7aomWsc5HnCqlfPgxgMwkNvToCPE-yIz6WwmvOrxoIA2-PpnkcbPCD0x_dD2yEKhYH5IId5P8Mt89KlZP74nS75OOKD32mWCcsig-sHDYyJDfWQ_DywySvpPQJ2MLrxlp3hNd5J_-5p0yPs2QYvv-vY5ydyq09GzCyf-VozGPR6r-2xrq-2FsS3U1ruXnCLXi1iRgAx_UQnjd9WqP6WouYaoTe42rTAuugAYl7Uvddwz5VZYnQRLQiICiRBVJzZMUugj4w4D7lmwyVezSBy6SPqhmFRiM5UPHspbfgBURbcxT33zBzg4Y-t4-kkEbCopEr56rSVEAUzQNSisUgtj6CNYPC4b4qQUi-xyRher1iwxe9PWoiOYZDhM63xgys_aXo2xgCuM2S55BIw2i7RKN5td6QxypI75-L6ki2uVfGlrd7V-r40bj4&amp;type_route=efficient" TargetMode="External"/><Relationship Id="rId75" Type="http://schemas.openxmlformats.org/officeDocument/2006/relationships/hyperlink" Target="https://qualp.com.br/?data=ZYzUGatW6irLeH_guNHbzoum8pgRUA-YOEgg1ciIxNfl8WmZ4Cpo5qEzmP4CGl5kPkH59LPNqgYKeLLLAS6BNcj9IydiASYmGi6fik4W5D-y5qxBGXBWso2gi_DIMVLdoantI9rrDDf6ZNrl_Guo8GVsh8brsywUuoCSu-RI5tnVO6Y3J7lNrLVAcENGoLOQzwWcqrL3q7BOBnAKia59xk4re9q8mXIIV6Gmns_38qpEbBqk0pGxMEIRkVGcPl9VnecE9x73T2VqZUPcXWr8OqjuAL6zkZshOzJfWkf0u4vSuDn6RU_a5-cOJ1yTo7J4NRJfy2e-5QKGVAzA54oWzesULDJwF3KeKObTY3nrLp4VmuqXBuQchauHL3MHDHzBIX6EVe8CddHOw6sv0ScRHly3JSV7rMKumyCVuBwnYd6SSes8iv4OewFDm0xb18mWIpbwolHj3S9bvzOCCLlaQwYNyzqFKjfuJnYy5u0hJfuj0DVFeJa_jOFIhdPeFECdiu4TUvtgK-THff5K3aiqtSEBldOJAkW4horMDsEpdJ2oHw&amp;type_route=efficient" TargetMode="External"/><Relationship Id="rId96" Type="http://schemas.openxmlformats.org/officeDocument/2006/relationships/hyperlink" Target="https://qualp.com.br/?data=pl9g7fXrGzHj4afUai92kJJGBx04s6kBumAhIExJ3zEDBsG_HsbrY7ai10R9TXIARY-WOQbEa7Rb-iVKPMGARIOE3BDwivYbDy5ohlG70d7cxiwax6xFx-RlotyHsnseW1CYXwoZtWT7vl_ccMbYXNAV5b9B1c2tDp0p8_JVfX8XQXUw6QcsXXrnDHbX2NnTIfegiXSOQoPwZAcQ6aXWGwzpQ3kvIEjtfcWoa04Be1EdzaX4QAlzMtf_b7EPoCOyJxcEPmYAQcDs1iBiizNfgxpruMH6-FnlAvXSsDycfsjy9S1Isvh-8nEYyfmyw7diaWXAMnBSdFR33pW73GI2KpQuMoFCCrKOWrKVDs6Q4BSMpwfLAlmDdn5ygaqzYfZH40vIgqj2JVJmBFIuNihpRmflfA4z_0QyXIeN1PkzCb44yPFwdberfgtN8qvxlNVrs8wgP9tp6mAhAgvPyISreC5UQlUB_jI9kWLl_Q_YAHIB91ueuka2mJ7RVC_Eiz1Mhc64UH8wfaJB7Qch7Lydc2aJLwZELINL4WVls9OkyV3oyz7w2B_6zczcT43_&amp;type_route=efficient" TargetMode="External"/><Relationship Id="rId140" Type="http://schemas.openxmlformats.org/officeDocument/2006/relationships/hyperlink" Target="https://qualp.com.br/?data=SZG3hfbpkAJ6JwDVUxXpWJd86RlwunaLmibFzzsqPEBsY0_oWLtZJ58qCZHG6oz2W_LOa-MUyY-A520mQABsx41pgV8ZJaPgkSghcGC4mICsTZkSrtomK5CVpyouKSCzdrOScw9fqAyeCj2en2b__UU0q2goD_RHSMQG66uLCl7A4d6RQRB6Euw-s8cEYFkU3RGjMjgZfPdGMN9-_2HV8tBV6BarGHe0wdQC6aCXnDLoTuh_wu5tip6UpSnJPOppD9kEEDu-8afScibdItvL1Cd-QcutSHxhchiSQrdmJZuoI-prPuAPPO2WO9n6I5qrtoAkcb--YhIB7PYTa010oaZTHjQ68iEzQvGPu19mizLIi7edSDAOxOtf14hHovbY6vTfonKyIp8IfoK6S713GBDw3RRkE-rtxWp7kE85VE8r3QbV6KaE1Tivb3MYeOiDq-DQhkc7i9IMciZwcCbQ_0bkhm4Ozz273NrrHx4_f4C8IZIEa3ZQdz7ZaRvSYzYc9cezRWaQEVJw2PP5jdMewBSfFxBSXufeDpEZSN1ley_HXplUL-RXOg&amp;type_route=efficient" TargetMode="External"/><Relationship Id="rId161" Type="http://schemas.openxmlformats.org/officeDocument/2006/relationships/hyperlink" Target="https://qualp.com.br/?data=FeNi_nCHaTvGjcibbFB8_KQ-rfj4uGBSjJZFy3R-YPFoFad6N5x25JCRN-ecqIhN8h5wV-RUUfzVnv1wav5CGeKvT0M04PbRldj4IRTsT11qU6jy8ioQAT2uM5757fGgyZaWoTu0jaC9QlZT8f1B_YI85y2p1yFc4oSLs0bA4bjkKLlMJ_8MyPD-TyLJjtZDeSnH-Bhu8h_CM9flu3D6UcTd30gz740ldnwGo6SwXzD67Jp8UGpVri7GcDr4dXLBugeE6AvMCyZr_tOQANLLmaa2seVRAeIFtAacOzq9Ikbpoqp1KGeczOD-A1ShjwnJLApuxYArdMS9JN7JegBg_n0z2y78gmm3P0r_PncCujCnvwQ9Jk1CUjifShPqhSqBQH7P71Rhc-uaU3iyp9xPVUNHlsGfxOkYrz_mQloNyHWYnOn-1DpgwrlDGg_LEukmhZPRd2QgGwmP5E9GQNvbt3X5Q_IRxvWsKab_kzbxclhDZ18tmL6PSkd-QpbQ-Sz0TJSlnNediWvkG9DcIpT1gPEs73iRfLoR96PnIBjoFE46W5X_1B0y&amp;type_route=efficient" TargetMode="External"/><Relationship Id="rId182" Type="http://schemas.openxmlformats.org/officeDocument/2006/relationships/hyperlink" Target="https://qualp.com.br/?data=2dIp72DrIr_apZZv-8lAqJYX48H5riZBbM6UiOMXsI-LiaJn9W8OSAx3eJLSB9t9Cr3k5eu7uhCZD0Ag9pkbRz8h0UH34_W5rX2kiywp7pJzx1He1VZDUJew6gUMhOlNNBadTes5uRSGqidQvkwAScHN5V1NkW4ePyVaMgufTd8lpz9NN1ELpeJFCQywUY2RjqRBnINB3dwMFDJw-NBeKwezjfQ8k7ZtnW2pIvZReCpmk8mURskMDw_DN184-8fpjmFf3Soam7T4b8dXhZHQIMzNvG-ukPSA5hm9gtKRFSvNAZc7hfCXqoLADpXjDARhJYrYMThRHfgsAwJmu19h1oLcGn9sc9LyNruKOqQPgLs8cMkO_yt58Mjk8_zJ3JjZSMYt2Az9XMI9ZLhF8st_0kTq2FOj9ioy4wkLuMmnTLU6HLY9z__IL36aR8GbmEk3GLnJ8n8Ntnlu-U9VymbWyfcFKRpaJzarRx-U1si74-sG3trXeWeWWFtWbP72-eSWjnNIoIK__PGKNboaWU4RKX0uzmD1GpAhnWsFK5-Qc88ZwYFg&amp;type_route=efficient" TargetMode="External"/><Relationship Id="rId217" Type="http://schemas.openxmlformats.org/officeDocument/2006/relationships/hyperlink" Target="https://qualp.com.br/?data=c2gTpVrj4q5IUr7yzHQrE4MZ1YDmfU6jrZ0TSGmph-zM4zIUbwi_mdAOPdH7lLDFVqpYieSkqAzxvtLvYXrnVpM0vANw1rv4z3CeEQ5crdAtN2fAegCLr1f1UiHYw-NYNkrNs-fFmmPY3gcP-RG8eUeqi156hINqjfqG11KGPcDhkkcRJppQizcX3S-hvlHBigSjxZ3pHUz2kufTDB9-y1JzMYW1-FFVXl5oZ-yCdECrvxanGkQ7c09RdbyuWUpcsruSaQJZmgI0keXzzbaCq9nmN88XloOnxqw9asT3yHtgKQiHJQYGLV1O4vmY56gus2ckp0-rsMW2Cb62VOPyjTPcX1C59mrA6cy657gCFtV4W8aZ_fSTjXdk-XqQfjD1xLAcD3ULLJN3zllD86DlGiy-cWylVHgzxFBGpHDHDNlouwWyVGXgs3Sr-H8iWbR_CDh6cSGhofCrm6F7GTObsWdEDzyK00FpCWvuWZ5xi3LJWsfqIPB0bR_kCUcYY--16gpg3pe6w_TAA1J8qqv78KqHO0muW33M96kMATD_936nJuQ&amp;type_route=efficient" TargetMode="External"/><Relationship Id="rId6" Type="http://schemas.openxmlformats.org/officeDocument/2006/relationships/hyperlink" Target="https://qualp.com.br/?data=Qu1fAs9BwVTetupL2ou8niELPwFqaquU4YoEByLn0ABqZrr5Okvjvzn0iwmecU5XvhV5ILfm1AIiGHmn9zL9hPJwHIvEv_fuumoibUtZGzBBgXyicEcRfzWUiNxIWYFlUCzmLVMQKI5xZcReV_3DADekHmEkaPzEbC10amwGuwXqWbFtOLafd-CcUaAMFdsFYRaDJehKW5Bddma5ys9eAPF3s3vNFLyDO9qlL9Z8QNRzZ1S9A9nxZi5E-8peycF5zRufpn7MMMF7zlvfLDu_bTbf371tkKirKwTuk-HYkga3cB4iPF7tDdInDebzef4NlRSKmrp4ujqn1LlgypmUmBoFeSr-UWXelcCypiN0-_VVMmFNcKz4WGpmdBl4V8pW7PrH4IqHilXa_F2XObN63Q1Po-I_6AmUgQiz8zI_G0VCOeL9E7Tbc80ApsR4hiuxcDIOMRsleUdpGEnJwTxgUtr8n81qK8VDj1bpBbLwPwGEMMUajGbwgzpxNouqMdx7E_mDz3gjfCGGMp-th5vtYmbC1WJ3cHNL61QV0ztOrTc1LNnnlm7wR9Sl54wSKtsgLr63xGnD6b6TPA&amp;type_route=efficient" TargetMode="External"/><Relationship Id="rId238" Type="http://schemas.openxmlformats.org/officeDocument/2006/relationships/hyperlink" Target="https://qualp.com.br/?data=fz-g593Lh3R6oc9my0wmMaP3Q1fBfo8FyHd19RrZ9BfvnfZsB243tqoSK22-BDaTCpoXM4L1DMLoqFImctKKh2IAq7otgk3IDwlTfuPq4ep5Nk1ToYlpNyjuLQMKMTxMvZNNci65lqsX3517YfT9HoswvDi3Zn1aQGCXEahf8kdh_8ZinLlw87g1A0GiKBmVvFrUvaO8Unvx7o9qgULnOIG8rN42EoGFTFdNIGZ1yMzFSwRrDAq6bIcVddIwl7ploOcpuuH0O2Cl37KHxtCsFKMw-9C755jFrCKxoDpN5an4dw9PzK76xCQyYixgNKv4-AVEZ4AK3V10jeIfCb-DVlyKRUbe9nfQo1u7JcZWwuE1dT13vjAT-tRXW0HY_u2ZAcs4adVOcyQHC5z4SyXRKXkpdSgL-KvRdHaSMuJwKVPACuvoqGZAgl5MXYjiJleUMIcqvZ4VSbItkxI_XKFltx3CnDBewS-eRzDJsLgjpbrUQn-UhoHxSXO5aSZaGSF80Sw70QQGgr_NNYdStREDiw_yRc-PaW4_fivZ1RYcAtE9&amp;type_route=efficient" TargetMode="External"/><Relationship Id="rId23" Type="http://schemas.openxmlformats.org/officeDocument/2006/relationships/hyperlink" Target="https://qualp.com.br/?data=XQPiWWoVkbf3IrKsD973Mwur1dTVkhhzer9vc5UHtjtj12D3F5ISc2IcVfJNOWYd4FNJoy5_ruL2RaH1IQ2blmNTe9Id2KWp3Ue3-jv4m1t57FBh3nlnSYGpvEdkK0NUcp3q_Z1aB4rp1Tn90J0Ck-WwpIXatnqShw-UjK_wJyrU0VqoafOqTCkSZM-T_djRB6QrtYSwINCWz-jMSFn7USZqPxpYfbQlxz-MfyBH5TgcnItCbzfKbmCc1I7l4InVUffW1O4BMAKM-SL7QUtceGongyOxYionVnPALfWWYR2daAyMEJWdm2YGrRiA5r6hc0D1ka2ApSij3BTwWfppK4TWvS5q_MYTRtNSP0Z9s8oPR5n9NbLUylEPHPRHH2RMGamOqvee9sKprKaXOzE9gbW0lCDEFCzjb1nhU74R154tK0XXucqw0maDyCPFNpj2dEdVeqhdFpgdKsm4iRcHTczrSSLFe8fZ1JwNIjK8ljgjxZ3fyYWAsU8pZE9rfahNmssweTKCa15zysy-mtUwLIpo6uJyxKchm4UgqzzLP4WPK4vpeCKkn2nEI4DmyZea6h7scQ&amp;type_route=efficient" TargetMode="External"/><Relationship Id="rId119" Type="http://schemas.openxmlformats.org/officeDocument/2006/relationships/hyperlink" Target="https://qualp.com.br/?data=u08CbsQ4vf9nJz4UahJY4T_fFqlrhZwlJfFQgUnM-3cdvZOC5RUQnKDj2aGRiTOJEFGoGtySkXw-gdHbuFSHQBmJursUpNk2x2dkRpCQu-4WJAs0cwT80sQHMmAz87Dw2G6H0pAKBoiZTUNbL_Tvtrzrn7wVEtUXPMwf7rq4tL0KldEgpRwyTswroa1V88uECc42kzmP49J1zI2AIM1yH0TBVIVccvlc3Gw69AmZ9unhbL5G_nAl9ulvL7yfHby9WDqY0mZ1BbPPYrYAKdruSjG5ujeseL5kY8Xt-7r_JJlmG6gamEZxlQgCkMVv6jeTNq0IYXN7g39oFENKsRPshAKYmt3a4_6Xhs9fTXyqKqwgdRCEdX2bmjKrim--b-TT67HmqMOqAEfPIF2v3cH28Vl6QpH4Gp51TDtfLLpJ9qrs9uUBz8Tt-eBnvOhPZJClB7XEQxWgQtUOQzKrz9TBabuUhvb87DWWdChprCSJJQH6h3wJaNAdv5w1SIpBQ7KTR3PQDkg44_wdpsnLjMlLZwQmbQBKwihmN8p3pUM3qifT&amp;type_route=efficient" TargetMode="External"/><Relationship Id="rId44" Type="http://schemas.openxmlformats.org/officeDocument/2006/relationships/hyperlink" Target="https://qualp.com.br/?data=Dse9Q9U-DbcIjMLML6kOAw714Hf3P1vjqhMRYJunJv-evhhFejfRVzceaqDlENols2YfLMjzEWWWPm2JA6DxLJDhqfEkhsKzZ6bj0VZ6TBVzlSLC5bZMldYPeEpUeUoqB_E5Yx_jXtCl15RaCJ1hDwI4c8DCWb4-3A8520h5qGdvRF_PJsR3rT4UYMmKvKRzsbDiL6k0bg7dmfHFDGxni91DUEMPSI5aYMGrjoH2Y9h9cXfwyyJv3vHc0NcI76duKr3YAAzM7ARdaEarxRhMfirOUupiBAzQfzhtRK7CDmn2QKhvkssvvQci6edqS38spp2eupVVfPA0QNF7pj3GpOPPzhDs7vGSFKT91sFT_f5IZoIKRgmhBKao80kphM1g6UMvQhMB5y0dN8qE_bgNCtwOKX9UKuy9roSG7xFk8wJ6Zt32uk92Uocl_jm1XQbHnenUHfsJ6IIQqoJ1arS1tJaTiMMonC71tpdClSl5J3FsV13a4BxywWDsHfEc-LPpmLaJ4ic3hetdg4Jvz0U53VeOONDpUJXfpV_kyvfCdnQUXoN1aD9LTGqFqMoy&amp;type_route=efficient" TargetMode="External"/><Relationship Id="rId65" Type="http://schemas.openxmlformats.org/officeDocument/2006/relationships/hyperlink" Target="https://qualp.com.br/?data=tqMy3ZUY-Hx2bj0kkVvZvQtOLLPJy7pN1udlhZmZY1q-5G0G6Fb4B8OrNtMK-gSVt2UvRe4tyk8ue-JK2HEQGIaw7tFGtOM1lM4pH0_10u0qyS_v6-DWUURMMaD61VuuRu02F4RBC6CK3fkEWo76KxzCnp8d1yjDCvZeKHdMbpQjM3QW83B_y8mks2AWhfJxdNipEqyvf1Zymm3Xq0G1SDVSrKuyKduHgC4_wgbUwYUpDy835btb2z4g_urZLV1IqrZCluZqM3peaS2QFyZQowgkqvhwHpQM6-v9hggu_qgL1Gxcse6pIwbW0ym6EtMJvpkDR6hhIqmkq-RxioxrBEwtayOLI0kHWkBxACIXabgpTtGjuyrg7piskj-4i8V-15I5_n7KW4hza3ZOwT7_j8Kc0rgIzrgVR63Hvs2oy3rlPCCADjMpZWD5CEZQlJSZmnmjCh8Y7GEO5plvUHxr_vmrJAQMBJrHygvtXZZRH8hzzOEcnyOi9Sg4OCJCsyrqH8_fsPPBHlU8PWBUcnp8JyctmW6JwdddqLn40uwqw6nPJ98&amp;type_route=efficient" TargetMode="External"/><Relationship Id="rId86" Type="http://schemas.openxmlformats.org/officeDocument/2006/relationships/hyperlink" Target="https://qualp.com.br/?data=LuZ7RvQfPh6jnhKW2B7YSXraG4zg5yGSE8g6QDUf59hYGwOPXjFiJ8ukehV6nSu_IFeSgzNsbxZRv3z4NfhbR6EPfmUPxc8Nv_jEARrvh2vsqJpSpIsWj7NQ2ISPvhuTtfNzZUVWUD15MeqtC56JaUCbXEgCVWpo1rJGKpeDgNDSbyVl4SPOVDU1oEavfjurZX1s8mAIfmLyhREFXim_qEXbkbJVVJfNAixzG6bqWHpWLb-xr-LD2Ica758nkNUOKGiGkEWbOgeFS_xuDCxWHoaEVqRkS0cgvngHzg37qA8L8nm0LQm4mx9MB3RSgfI6Tx65q3siDl_j0b0yJMLG-5qvfvlbMcWa0PV6UIdwn-SaRih3c6wlRpzVh6_KGyS1BKFW9DBuVRLL2G3sn2HIQJY9EvruPzNHNBYfve_idEh5maGRID0U6c5dCx57f_T9wkcMW6w_jEGHocdM-559i2CDvl_ylh4tk-H-t_i9Lj38BxM4sClQe4oPLiRdfO_h_YN0pPTGx187xTIa8Yr24NOFhlNVUNiPoGh2Z4YvrIgSWwx0LUp7Pw&amp;type_route=efficient" TargetMode="External"/><Relationship Id="rId130" Type="http://schemas.openxmlformats.org/officeDocument/2006/relationships/hyperlink" Target="https://qualp.com.br/?data=g_XPnUKvk_pN8HqfIsyjcMA8NOuglFgqg_zXc3QDqIHFWaKzI2YtbTlmiDyQwe7Dbea7McB4RxstYrqtVpbCEVFoX7wats7ql-tFbYk2m2LahFCyzrfzapT2CvTZwZ1OKee2r2r_vF1SN0Tg9i4Yal7w8ExOmgFEkUT9IZwsG_4x0cTbW0P7sHm_8cdhmmMiDmZaoXxvwYm_mXi5q-KU38lemBlzTNKGs4V03vpJReVUGyNnMa-6HM9VVvsuYRLRUHUpR_mC2hqACQUZ3H1ofU--RK0bKa4fBHtqhhfycXR8C-ADyJVDlv1uhXWiJboiUNDLc2j91AM3MB__NIjUpuVhud6o48w_Hfaomen-6Xm8w93P5CZM6sPq4NucMKBQZWCkL16EiRTY4jgvDQJkx1_RzEubcebKha7PmjRJL2mtjuazYqpQRCxlV7Yd5ey-8D1yEVxNpaPHv47kuYHi6G0iXp2EEPpUJQbOIDLEuMG70fBgWb700P_lO2egdCZiRzwG66t2fUeSNndRcDf3lS10aHuAbGe8Bq18WOm2k7twVkNKIwOuvIru&amp;type_route=efficient" TargetMode="External"/><Relationship Id="rId151" Type="http://schemas.openxmlformats.org/officeDocument/2006/relationships/hyperlink" Target="https://qualp.com.br/?data=1fVvUZl4WK7gF1ydm6wGFpOnVYZ0BSlHzcmNQ5BeeBNxhwP6Wfa-khrazz9V-W6u29STa3HcKJaA_PNHtQD2MV4BMfsooYmJrDAL4K69q55kVd5xp4EuEip1jWsN5nQuDP5dMbJMBiCt7YXnAg5zfJwmsxJYpaDujJQnvzN7Eq7E3knnABUFTYmyW6EKqxrXVsz_F401IO08F-5oBextPzoaPU9rtEVidxEFrVWWr3sruu_GFwHjXBNqy__OxOhB3At8qgMU0cYIq1hilZ3Hc-A8BzW67B3GjJWb0U4POh8YukO8woam95Dogp88NzJfOgYvmtkKH11HZANGoG-SQoBAUT8NAihFv_xF8FGIPgccrsBG-W3J2BJYqEdKl8yiv89Wpal7qhPPtY8F97_dvoXAIZKZdKGJWN1mykPJs0oIk-RBgczO-TEAB29RU5CK0GLeERD-rX5binjiXy9RcM1pYLlYtjrVHSsk3STPC1aGgNuqEDKObKAwEme8To5XC73qa78KCPLMjbCaGiEO8dir1lHoZ5k8V2awWrxwTDwCCmJUWLT-Hf5E8A&amp;type_route=efficient" TargetMode="External"/><Relationship Id="rId172" Type="http://schemas.openxmlformats.org/officeDocument/2006/relationships/hyperlink" Target="https://qualp.com.br/?data=PjA6S0jSsKtxlRAR-HdPcNwZs5IVyCTz44m69uIBxUOxRiw7wvvbsqFSSbHr3tPAqup0pFndr4UB-qAoZFKiJS-QRw38JCJEs7R3Tlw2W0oIGwT71N9KVoe9RemItEZXrPrqDmDA8t_kUH7pl1UMAUF00SV3dVFmEeB1g79Ki2CGeDSK04BpxtBwmpjuVU060fjR1hjwpAFoni9hSAxKX58WT7sSKIoPPTJa_Q2FeW_bC-GtyHOBjabClGhBpdAq6qs8JTLDaqd_eDsQcD4ncYu0e0Coex0ON4Y9WJUgfD7rEBByqk_7Ult7TKdtXX6edMSs4b__TSsH0xQGA04PMSUizfIVdCZxQ33thHDponpMcxAgvdrbllBS3P-AnI6u4EqpqRXV9-Z_qu0L6mt3jT1LPQhIs_DgXVZBkRdfhMz-MpCoyiuGWPf6-565xyUSEzIRkVitLA3332DQmZL-og1BM6uD7lcpMdfRg9pyJEM0erS2-_6VBBavWyXCCoUZc7nMj8UacLDUP7nDlGGT4UCZbBsUyUPPsZk1vyI&amp;type_route=efficient" TargetMode="External"/><Relationship Id="rId193" Type="http://schemas.openxmlformats.org/officeDocument/2006/relationships/hyperlink" Target="https://qualp.com.br/?data=GiElzLqZoEc_H9a4KMVHuaoPJp5KfQSMeCaaeGm1jQcSEbpj5XsIV23E81h90SNBgMEKQeOXp3M58Jk20GEnXSCrsaenzd-Wk7IiDRzLM29eMWHB3GfTvehTXSsesVzL6t8uIeCI5Rx-Ux56z_AIZpg3wb_kmeBo_oXEyMyxLt1jFPiSLGKuQ05LpKzzQ1C6jpoD8vUexEHajugm8TV-b_IwmvVfuqyHIWoOxT2Li9mQB5ZJtCWC9CwUzTY9usvwmVXEhw1-1IyRAc7e2BPj0jCbbQzf5tKq2Aj-P9syVS56AyceoNU6T8Ekn6sAxuC5kpF55vnETl3wvhq_oLAsQiyGRQMHh1JYT6NEbKrMFa6k2Oz7vRWyOM0FhfMAnSs97x-2-IPgrdzZ6ytmFROEidbi2mOQtEzhYpZHQjuq9z0UH44ztNTL3V3wHU-J0rNtMXYEBEus-N7olesRU6pZ8iouTeEtAFelJmJo6JICBMXJoTu33MBWr-mSWxBw1qmmRQAmpmUSTkfkrFSKTQvNMcZJC6n6ThwDA84N1FvWLjzcog3F&amp;type_route=efficient" TargetMode="External"/><Relationship Id="rId207" Type="http://schemas.openxmlformats.org/officeDocument/2006/relationships/hyperlink" Target="https://qualp.com.br/?data=TpREcDaQReH1WhkDcMJiPXso2FnFJlJvnl5fMTybFHIIUzCl1krRGg8i0pY6uqgx7nHAMDp-1ldCpsoHS5App5MEgM6kPAANTKZh87aPLPn-hzlcIS2kubRbkP7Gyd-bGmhCsXR28aN1ikj2LR9G-UCjHzRp8-Fb0-Y0NuFq3tBysVd6Was9c8bxkSNkntk6Tks4ZXO4RN6ug-0jceVsz1KXHbWn2ihAaQqqiEW66Gce-4pMKFzCOdEF61-n1yYPUf6QHhHnWFw6sBEm9a1t91BTlzGI2mk1Lp5G4SE-rMqnA0KJt4_ANO3K4bG03m7ld37cvHV9T30Mn0ZB94AuU-6CFxZLCE2x7RypOqZVJ8i_qER28XRZe-ZA2YM7i6mpRGbTf2qiBfxdwQnQW7s3vwenf40TbybKhTGf1G4q7e6L__YpglI_L28iNaJsDwSwR2IQBTHvCqzROrOuu6-Ne4zen9PMvTSikluEn4ajKC3jzLXATTewKVv3pqzp6U6SDNhAV5zYxR8BI-YTHVJSYKtUTfeKWJnlyx2_W3B-nzOJJ_rv7Q&amp;type_route=efficient" TargetMode="External"/><Relationship Id="rId228" Type="http://schemas.openxmlformats.org/officeDocument/2006/relationships/hyperlink" Target="https://qualp.com.br/?data=Us_rcftsfQIP7P0M3QC_vDo_UCp-1GkHNr9G2ehWmhqbKseKOzDw8I1qY_7ZE1vk77luREP-K5u3MUsh3jb18i5c6emQ2rL0TrVvDSQVkDnEIv0ySlczCiITF2xiDbwsqxZlmx9b9KIR4oro5touuEGkmu8_CVJ5C29j99s5GcxuB74l5iJxxZ0yFD8APhV1h25LjNAjK0siWcKTNnofrxHf_Zel622wijR1WS7EiKarhiis4syKrEj5jt8sVzPzVjVNeh7Ljv-AMeqKrZ3CMKbHZmWFp1f4691VzByjCXKxuH0BQ_dJJ5AIzAk6saYeOm5qvhmVgPz8CxXHOYBa0XKk3lmSXajjiNybS5UBWK0GKRitAkOanTegOhZ9FpZ8Of6-RXFgso-UG8JG_ikUdIw2XeNOm8aNH_IHtbeaCN1wZreuZKZZS0kj0NEHpuHqS7iC4rdGzkz7spOQTwYWPDxhQygHwZfnRUgGOJprRYP5KGeu4WfruSpYnjjEGXm2hp779sEe3SR0BYy4KVYrggvUCJ0qI3Rn0mIe3YU8FvhnHQ&amp;type_route=efficient" TargetMode="External"/><Relationship Id="rId13" Type="http://schemas.openxmlformats.org/officeDocument/2006/relationships/hyperlink" Target="https://qualp.com.br/?data=ljgQvEkdJuSN0zy9oAeocisWZ_UCKJJNCB1vmAfB9pm9FSTRKENw5ICqzYeBislb2hEwqByq0bzinaNDQ3UQ7CtXJlD5Av8dBKDwhbqVp_yL5QzE8y6J2KiC9I0O0olQq6ldjAU5wTFiMIFNIYZ2grzr27Pu3Mdb9COD_FBhvwIhP1ZHK4msN5gkihpWbPfWXkM2ui1sJUqderm_8B6vP7Jol4dFq1r7f64lxENpH6L0fewvBGN10LesRb6QOMp_QTL7DtmIfz0rjtyB7pb0jNnFPPubI7_Py2pi0KtMlFre1csEAo0aRXyXg462sd0Jq3DwjNDw-u9fJesEmcxBqY1qlRtzgw4kD91FvAjMuURn4pRMN6a92JYcnesO1w1rxJINSeNH6MMWvPfS5rPjXK7ez-TS2L40uiSfYXmYH-3us9ognUosg8bn8ANvwLzOC_5U8TVVvw48Fo8lC3iaeOYyk5utie6yKMGYK4Jr9Nx_F0GAiyNinOD3VHW4kmXcJFqO3U-2jvX8l_807BjdtRymWsNWMhofzj2cDtoFFTyrfgzB5UQyzsSMAbmHHFBL5hKkVBI&amp;type_route=efficient" TargetMode="External"/><Relationship Id="rId109" Type="http://schemas.openxmlformats.org/officeDocument/2006/relationships/hyperlink" Target="https://qualp.com.br/?data=S3jeOVq9jckHhyiG0AJSPH8ZoHskvRBZJ1AIFNW1vDEKv4VlsObP3cKzIlzlYItLGYzKLjXYMXpRCOFf1RuXBN0WUGHgneUd6wWFBDAOmeRnMzKUQ-3zM2vlbh3s0olon_8rkda_jHdo_lPC79uNr3gDmWYDFgg5W3SjBcXs_JGKyIWPdgBxEK58P_zoSMPTdE5e7sL39omDpZNjahYZmVpkJvAZPi6bQad6TaBohwGN998WV8NWOPm1bqo_ifyy9-yS43igaRy3RVbwtZ9Bno_UEvCQTeOCYmhkaLJHgSYOobPjjL1jmvxsG2SavhSv7OQMHrXEHR30VHYTs8smDkI61gAKLd5nXB3UUaWaS86vQcYlGJ5vyw3pfS5BTowJy-5HOxMct2rQLAJq9YnRUYZp7sn3ORJQPcOt8duEf60wM_ugvPb1HqE37G4m1qnlbUbnToaCujKvr0-swZ2_UwAzJJAJl7tNakQq444OVEz9WBaKe5Xdo4mpitr1xIeWQcLdPBbduOrN0ee5FP70MpzaaHp5XJDFmjHN-uYd&amp;type_route=efficient" TargetMode="External"/><Relationship Id="rId34" Type="http://schemas.openxmlformats.org/officeDocument/2006/relationships/hyperlink" Target="https://qualp.com.br/?data=M_KDvC8tfvlSWo4iFCVgE64MP2JRv8Nkb7OHR7j5Y4yntepB0_ODeFwN-tFGsBE2EoNIlFrTB9Avn5AbLkiYTcg9jiC5RiXbC39a4VHAIQgqFiDdB470JEbVMIRe_XtBpsoJc13cr0laIEGehv90uonM4hCpCHdzMZIEj2Buzx8FEizoxyi7gKXoPs9Ge4qoPPuO8llP0HKRIJqHNeWry_he3jzTXZtN6bxEG2FpAES3iuYjqle0hKn3lmfWrsB91PPZRWQkIzYCmCcCIoH4FWqD_c1gP5dQ1ye5aWCXvodAh6fx6KwfKWkARx8knzQ9tGzcezuZmI2RtpRhVw_HWqeqysfaGhT-IRaBF5ISC5azeMdsavvAiwnuNzvHilhMMMsWM5AZgZyQapIqILwABp6u3f7QIlg-4L1mGSa4LPeQXAUpk4DuauL7Q5Ysi1vbwwiC-7BL3-VNZ2yWAjHM1cGQ9hG1UDENrJkpyhzh6Cyr1HxwbnIc1I8jhJOaJ33tnnrTuimF5p-hgpMxa6XTg3Uskaa8D7JWhcLOzPhIabNqjvb1XECRttx-qbEFul0Lz43_CKv-XBSMe7xl&amp;type_route=efficient" TargetMode="External"/><Relationship Id="rId55" Type="http://schemas.openxmlformats.org/officeDocument/2006/relationships/hyperlink" Target="https://qualp.com.br/?data=itNgaUM23Zz2TFBCIYDMtJIazjZoMlD7GM0W8LcOs-I8Zq4xRXh8MdxpYF2pgHCWzwIrryjs-0eMcQbaUl_c43TdNQAjltqxw0MhkmheehhNb2QgYvm6zXm1e8ZcwQMQ2NXUPPiXYrxuLWtyAQnOSvrqdDscYR85MY6ME_Ay5blSqw28enj4HNW9mCqPgwqOr0L9zCNow_i0h5bdkUJbs9MCaDeWkaEFIB8MAOwDvVD7CMzU5vS8NO1YIhSu3iiTJudGgMDg5vY1e3AZj9nnnlsjNEUm1jvZPev0eX-XoZpQ2Y0d8vudK61BVw9TZZhTdKqcemUNpgYJcyKXItVk9xsNk-JLPuTBTJpyeGf8pmq4Vzh3jp1R2E3OP0SRDT-PCPGsk5NNi9WHYCizJYtR1Jknw7lmoFLocN9FoJ5L_wcTSaC8ehcIFPbZnY2ytv_2USh2L4SwoktozrASUSIpoEJ_zTcd7-jw8QZcH_M-GrkWKgIfwpRK0N6DYMTRVqHat-Z1zDUcmBmPv86VVifQZodBQruBUCr7OTYPrQGXN5J4UA&amp;type_route=efficient" TargetMode="External"/><Relationship Id="rId76" Type="http://schemas.openxmlformats.org/officeDocument/2006/relationships/hyperlink" Target="https://qualp.com.br/?data=Mcj3Jzq06XvrkFoldG2o5c_XJD_HcNeYe9mT8Fl8J5s9WOctet2hlOpgEzGQSPBGmgaKbcbtcFwrCyxfkJlfG1XtZdRKwy6ii-lP3Xzq9f5Pd9pwaZJh5BVmjXNueN_ZeK_h3txxr-MGGM-lbbY8AjXXvzhjqY519jJ61Gj_vB5ob8nCo_VSYlKvuUBpQXsjX1Bt50waVUiDutVmCiTljUMm-KJtolelieC-vIXcrVfq9W17mO1Zdv3jIuZ4kodF3-v-J2wyAoY9SPtqCOLN-_k9QAj7z6bjwvf6o88TblP9twz1wy7D4dyrGS6dEfpLaNpS14Hi0iPL2frD2kyoBd6y8ZaYxUY70bH1iP-VQmqKl1HgW6965sUFG6USAWsgDRutjCbrlHmW56PEajNfUca_ayCb3QvgfiXenUD3smfHH1rM1Q2rclGwLO0znYemdX_xlT65S1xvfL68VGJf65fMIMBoXHU6wO1tGKWthL0sxwnQ2sv_U_NBPg7LSpbDSG_-zJbLaJwjE2eb6TjRR5rEHDjX30OoxK9CF8App_05yHtUiw&amp;type_route=efficient" TargetMode="External"/><Relationship Id="rId97" Type="http://schemas.openxmlformats.org/officeDocument/2006/relationships/hyperlink" Target="https://qualp.com.br/?data=7Ev11WlK99Q7Oi35uYbBdB7G2chg2hNUVLM9xdNjdD36TfwFeuwjowOXlaw1MbJAL0311AtQ7ppW4Ncgmn4WEPhuZ0nuyIczA9-wtme7K1EO2ArI99I93TUCLaLp36tBdoRCplSrxQgnvVI0TpdZkePQEPbM3srb8PSRaQalUhVdci0pNpVbunKJuK4uVjkpN6MnG6f8uxfAjR4c6_3XjwnFZ7xcxCIl0VioqUx_28wJKstjQE5GDBfnlsKsYrl2t7L6PqEnWcy78bV13LC4MoBd0qrBn0mX7C60O2mdy_8Qa4MXLdX5XjAKjdZ_4PNUEPyYjtkNSCf67p0z4j4tLy-w26zZuHlV-Qgi5XfRtr5od3C_xSBXa3XFZlown6rE0nXqhu4AmpEdYyYztPTD6BRGUuOQvEpqfQ7W-qmoUf_1MEX9lQZExYlptNOKemZ3w_MgMsg6M6fB1okR2oQbmiMr010JxVREM5yy-3q-hYvOAfTF3hwBeIaS832sixqcliw8fK8I5bDESYTd-LcfxJSboPLjT3EEXTfIB4meg0OV1Al5yWY&amp;type_route=efficient" TargetMode="External"/><Relationship Id="rId120" Type="http://schemas.openxmlformats.org/officeDocument/2006/relationships/hyperlink" Target="https://qualp.com.br/?data=fxMd21I8TMhaDJRGgnmRdRCW2teGEn-zNSoCga1cM4Ch2ntzOX5J522GxnthV-JCZqCe6LZWv53dY-dbAGeplISpngTrwtqzDKrSuKzoC4DhSvGYUhx3N7-_oc9DTVpQdf_C50VZdgefj8U3J97gBwcXQuruOO1UleFu6KhsHBhc8vJtTBX1TfZU6JNh1Xw6grExa5AimonI50l8j5FILG0wh8vgJtHaXqLNuLXwBZZJc7vBw9C6SlU9XEI6ElcItQnawZTb_h5Nr69yNtqI4Oimg6mUhI5mTvcB88hIQ3xL4V-BYg2flI8putmVio77HeFq8eK4wHIy__tTW_eLxpOp_HSVxBRxummEVZvLTXUSeXAmoVrVrVKcmThw8x0ib20fBYPIttp9stag3GvCRFW_iHA5ZGcCKPoVEYKxaxsThXNLTvGpVbH8GTcB5rY0coYlbWt5HDgR6iIcEaZMMSrJ63PV5DpV_Gw4stOUSLWGqNZdqVD-7FDZQG-JkXj7DfII4TCERpOJsrxi_RNTes8LqwKabT-7ImeXkXcRA_H0&amp;type_route=efficient" TargetMode="External"/><Relationship Id="rId141" Type="http://schemas.openxmlformats.org/officeDocument/2006/relationships/hyperlink" Target="https://qualp.com.br/?data=wC6AJK12V2gtND4sTfw3If7q_kAkBJRLAByDVUDEXxiDcyRUzOmrg5EhfdmYvO93zKVWTiSHr61luF03_3yQ9flNR5_RCzZ-tMTeNw90IFR1dNWRpg8cMhUfTO7xQJucvxgIKeFom10VJOQtamKocy2b8knAkT9MWXaHqlUbCovXmDGMBV2NFl9YY8HBC4ID4IZSASaw4QTUl0YMI0Cd9fp-SZGc2ewaW97vcIcfEJfg-Tu3W--MDlKIjOoNQqHEXur_bK0qqETn0LrPB1Q0h0IYF6dJ7aNAwNeIAAzq84IOtKfZHguAOkqHJYzWCfGm5GGMHlhBJH-rHPmBoaBsS-zIfUEDwz65_PvnnkmNc5bgc_hLvUO9DKw_BQ7Kfw3VfE8_1jvxto-ZTrCUyqN0dLMbAkiOwTanoVqMVlBQgSu8CBbvdKd3ktQJ1tC-SBgbUBoLQB7aFzk_6IS1cOWRAC67C04o4IRNGdlN5Xgokn8zyblk_qQOoO43Xq0ZdzFWbjQbm59LqrtLUuUI0rTl9jp-rMimfedNIZzbbcauGdg-clBhIWFvZ2I&amp;type_route=efficient" TargetMode="External"/><Relationship Id="rId7" Type="http://schemas.openxmlformats.org/officeDocument/2006/relationships/hyperlink" Target="https://qualp.com.br/?data=hBE1qGxSnwkO5a5RDX5UyyAA6NF_wRHvge0BDCWCJ4p0WD6uy4ak44_6Q4J2WEokccGQpnkbVylgSrVjdHhW1xW8umCD8jI7tZJfebpXCJOpBJjmk0OfoF7Pu7JuKA0R2MleXw2OQkJ8XjnEFRhAXqnu7CPFogj4qeOtKpRBBGD35VxEElRG622H9JPT6UDecQU0wBI2e9TlP5US89Sx3AfXTIo-HMn4uRH_OuHvGfJXy7zxl0B6odKUhY4ea-oTiJwpBXd8RRVqRdOHROW53CvBsjA9-ZRgDN9f4UHUdoS4j7nmSHeu_66B79FVJ8Un_XJ6f5RrA8Z-xUTJTUQt7wUoC8JLWQFCG8oVbozjnL-wQY9ZPekjgWkCUQYaCqHiItrgVdKYhjD-nhMzDM0f6igmDvt2jGLtCM9pQ-it5lasYgmRTqkzRXNEvXRoBD7IlnWD3ocqavO6M0OlzvWiVAYXeGRrEmukd_g3u4dknV1idml1lfi9vxZiGZ3ZUvFyPP3x_IglaIUwgsAHKuSaVa5T5dkohb2Y7wYGjrIh1pmOo8UCJuW2tPQqxXGp7i8&amp;type_route=efficient" TargetMode="External"/><Relationship Id="rId162" Type="http://schemas.openxmlformats.org/officeDocument/2006/relationships/hyperlink" Target="https://qualp.com.br/?data=eEZ871GhZtvqHl2ghTlPKnlBJiDJLMicgjwgWASDcmdbMd5uDQl2WT_R-nZKVLnR_FBcNz2bUTPWxrtSI4NqDqmTl2CKrKeoctYpphldsJAVt2XezJDQl0UP571Ct58tQfq67aI8128yGIQUxufc3SYwvD-JFrT1hEEVAZaetBZXJYzYq2cUHS7oe31zAL9_L2Xbn9x_vhLoeL99ZJxuDOrYNI-gt0pVKYOhUr1cjyglLZCSBdRoSd_oL91gYwDgEvwdxPJUfVjJI1J9IFtEOciLzBXu0MAGvuR1NmNUy0xoMjE5hxjm5tUpss5FOKx2SC6Oe8DWCqubZ-iLRK6XbJrURU65SfQSfn73bBzD68X5KJmsqWsXxtl55bTWSahTf3fX6n_ioOLi3TMWTopcZU8FNBgMmKgeS8mbzYKp5yV3jfVAqOeVBwXTuz_vB1ffDnmj54OkdSrAIcIUqoHtE1TXSqPi0Kmvj_wHZP7vJuQRDocS67C9qfPnRzJeE9IBEfSLVz1d9QlO-BWhT0X0iXZiGOAHb11e5VRclOrY8Bvw37I&amp;type_route=efficient" TargetMode="External"/><Relationship Id="rId183" Type="http://schemas.openxmlformats.org/officeDocument/2006/relationships/hyperlink" Target="https://qualp.com.br/?data=4QxdPXrUlrkfXBcgWmo5ut_A_A8FlDN2EDIKB6za6F_0iNNfgFW6J4lirMvWswHHafEqDiQscfUzhGlZQeH6M3sOgaeVvKJnz1ynSxKMeRZUkK9kxL1_Nun4ekevgqgiJaJs7hLEpmN7kjYezO7K87t0elISfP_zZzBp9wdJOcFgZmVC_LW8Snm_07yDelGWee6rTH8bMv68Q4Aqa_rV8QzNpjBiWokyIJa7bnPfwmctwLvw7CHavZCvVUoUomQbBnPNZnWyCtRlj1siYp8qMwOIaDMOwrAX6IIqkY7GCh4aOyYqC79HovjEChByPNZo4MiBoZqWMfNOwrtkOvzFaS5oJTReQ4nYh7BY1eV9TIKVG5lnZG38ORgJzx2PjLOnzONkOFfUxFs3jU_5NBaNVvPdybKMoyCAEE77TT1Msy1KpQ4T26XJdd8xhVFPnTbTyyy8UmRGyaG1IJ6xdAETHDsLquu8E3byy6t9x-QjCgC5ChTditdlf-hVsRtwVMbaYlzfXNuwxdWAepApvAecNNFr0Z8JOo5BAzzmuWGrE0ZagMI&amp;type_route=efficient" TargetMode="External"/><Relationship Id="rId218" Type="http://schemas.openxmlformats.org/officeDocument/2006/relationships/hyperlink" Target="https://qualp.com.br/?data=SoPsp8zBJI2TSyy58wX6uyD7dB29t6-rg14B7eamc06uJChqwWqqAwSWkqD5xlI7_W8Um4Sy5zy_QbwovqKKtkoEbpkA8cSQflUzW7Jjh4ASbXW10Wsh6aJJoHx6fXnR8GRqDpdCHATUGlg1k_sVgdq0wnFnkK9rq61dvfmB_0OlCbZ3wkXQYWnIsfVvLwcbeUt6-EqUjh3yHDkpBEVg8ZYzG41-T4iyvfYGRdywHRAqM40kYVdoguWcYF8uvk971_gJ3hizpsPfSn7qeQSeehcoj9kFqPJs3__NwvaBp4fviAXcdtFXfw0kw1JIHv9uWV1TXIR_EyYkza5xoEKEcG5G_qwdw9QHc5kePC0XQNhwaZ42nAZ73DIOLeXXmZ1qiWabzjEaFKtmJ5iIDAqVb2D5LY_MmhLy0Fp8iCpGAaUKn_5rao28bu3_71XJT2CtoM46v00JEWoRCueoB-txHcd8lgycqIOSxkV4spyCIlQsrFddPJogmbAqQj3kz7nxw7EIAtgHHffHAjxIyPOl-kY_s8D4bx3gj54w6isE-fN3r2Yb&amp;type_route=efficient" TargetMode="External"/><Relationship Id="rId239" Type="http://schemas.microsoft.com/office/2019/04/relationships/namedSheetView" Target="../namedSheetViews/namedSheetView3.xml"/><Relationship Id="rId24" Type="http://schemas.openxmlformats.org/officeDocument/2006/relationships/hyperlink" Target="https://qualp.com.br/?data=sE0nIqnkx3NUvtm0TgLMxt3LEBuHYU23Nb82wqWohBJ398fdxcm4_N2whgvLUHnOPjnZFqMW520AEJFxhBElt6CMaVC60RmaHHjlMM6SJxlBMCAY_LniZatdYhsG8dB0Fxh94ug-uo54gwIgEhUJv61cvN0ZK7jNDUdTabmGmcFsZQO8QTBV0JzIWytLONoBnkXCXOB9HofWSQJ1wmasxH9wLzgPzDwjVn1nqpQW41Eo8cw7LQBcYSOQehiY9MF7irXVU7sJZDvFBYaobRNw_6wEWnX37Z8qcXeBRA-HyeDiR1X5-U4YO08u7r2V7TRNtfOEQGC-IUivjehObkT_OvDC1JQ_8l7vEogUihjiOpWzrfiIHC_ojllYbhrv2fQ-mLYNVXfSMuthSGDONULGA6AwoOE0XphQLOGj4UtsR5QwJAsoWh-LkBni4Ry1vZtD4nHrbzeQShG1yMAxUXF2d9N54w2QtwXpTjqwmA7iUtZtFHFwK2HrH4AgRIPWJu5ne_ZnDvQKxl9egHzFHyNuq4TkVXLRfjLpOc9oTWR75BHrcgHoKw1iH9_Zvmy4LjE&amp;type_route=efficient" TargetMode="External"/><Relationship Id="rId45" Type="http://schemas.openxmlformats.org/officeDocument/2006/relationships/hyperlink" Target="https://qualp.com.br/?data=FXSU2KeevFA6Yn8_s3d95WaY-BEK021key-67kNKCKDrdeVxNSQ2JNduHcWRUMCtKYXfOpkS-k2Fe7ePi0WxBongGl8HYHQoYopse5nhJfFrYh1YTJb3_aTNZBp6wb2cuAbesLe2WqYli4D2Kal3qDvO9e9_V5b1Gakh3BZbjALbc4zIW6VaP5hH6Qm2JK-0r3lSnyVu6UOCyMoTrQXzGOmJ15a-KT4fCjZsWhSQ0XOqDTd7Z_MXel7VPAGmVGyarWIgs-75Tbd5oM-PNI9vYD9o1BcGX_aMwk5JYoK24cKwwfpiriGbF7Mn-YYsYs399w15oB1iccQoJC-MGXZF2F63pB4ES31eyBuMkkGtkcgb-yFyxOun0PiCu3mT1dD-Hv1uD5Gzi-d4U52V4sW8NSMfNDvfvZZpuQ4Z1H2VPdeciV93t6EiM_7uIn79kRwi4MDS8HC77dDib4o4luQnzaVXKUal--Gs2dQVst_e_Qdjh0DGUb7DQQt1BstQxUXJZRe632FdUtr9mtuNOYtmAtr1yfNGpQBN4E3kVhhHAeDgcwsj-Q&amp;type_route=efficient" TargetMode="External"/><Relationship Id="rId66" Type="http://schemas.openxmlformats.org/officeDocument/2006/relationships/hyperlink" Target="https://qualp.com.br/?data=yDX2ryeo2to_elcbCax1qHDidyfujz96WpPqW08tLxIMj5v2y8OvHb6Jp5BFzND5CMU5fGiNuAdwdS_SFUo_ByKXWqZOsNTyZVIz8Wumz2MEVVXhdpm9Xa0MTNgWgHt07S0ipaayGeMBRBTmRMGsXk6-d4p-2GCXex0Pf60w1mJgDiwdWnX6WyvXSU4XuYwo3GKerpEZ94kG0yy4rGSiWwK5mjcFRM8JK9sig2rm1R7qEaLydlM9vOkbxG0LKW8m9p2c35Have-gr1sGOk2pfMvqrhA0swuloBlYzoqvlOJrjq3T-AoOxEcCWB6qCZfZ0fphZsfBWWUAJ3VvweO-OMzi60yAAl6diN_wEx0XrJFIrQWbznpfMpJDM7zE8wntuLBtc6mfMBhmao9FismsnePRNxit67OghiLroXPigjZKES3SnzdwnL_H0Fm1vATQpwHJ8cxxJIrI7d_lQybY_Mpiw4J_SKZu-2xreTRUqIT_tEdDUZdI0iEkPHHlZ0e-itKw_JDSH9WcXHDgFPp330JM-cPI8q1mIIyhmIuk1FjPO7oNdEkcoA&amp;type_route=efficient" TargetMode="External"/><Relationship Id="rId87" Type="http://schemas.openxmlformats.org/officeDocument/2006/relationships/hyperlink" Target="https://qualp.com.br/?data=HxznhnbZL71ls3jSqzNBSO_nc8qfbV0XxeAf6C4981Moc529yrfvCISp0kkugQ96UHxEZnsznhl4uYRSVKiq8JdOw9cQQDcyGPbGkYN1TuHeui4rZQPDop0xvmX3iK14FtN1Rdjwg0c5HjGi_WfpKqoCIXLME7tFWPlBEikYB9TDpzrt_WChlr3NwjkxUlUkysVtlzCL945lx9JfpoOcKmTSJ9AuywTDZL6M0fFa4Vd9v3fYye28r8ERpwhCNpH72Wzv-k_CBtZlvhLkuREX6wf7g696Vo_uS9m171NzBdAy1-8DRWJ7tfGm3lvUvYa_gm4Nm1BzNs1uvccT4exdfsPacM_P3X_k7Sw9pGrXU5sQAceNiBJaAoUxWFbYEx4PUIlxUwQu44jQAfY5gtYbjfnf2iwlH2JwXL6U4emdkLwf1bEkiY1po_u_tFChox76lhvisVdICQgyKRxfSiKxkBjLRUawdhCCcMNAxwsA72cElo2M6UL4ki4QenYXTtpxyBVLOXFm4HJ5ZSZ0gbOPqanktHbdVcugCXowM2VcXlsJX64&amp;type_route=efficient" TargetMode="External"/><Relationship Id="rId110" Type="http://schemas.openxmlformats.org/officeDocument/2006/relationships/hyperlink" Target="https://qualp.com.br/?data=dZiYswbqYAw4UkhTn26GYOv34pdDTJMpLe_bt5dknxwKlM1zYmlouJzHzahPQrm6ySqvqI0RVO0uzOjxq3BbZAYtJtBq2AxIVE9fjmaQYrH_z0GsNz0Ol7pNAmpM4Nyim8uMnNacaaoI3vhFKzqmj4jVZBQIA8oFPo5wrROzebGxvR1r98KwbuEDSAE3LEJ4pqVO5cymXLezGHdgQcvCnTfLMM7tK_GkwftYFFYMNF7R3nmKfQC2dc0SjHfRBHaJ1B8u6R2VjOhERAIK1lyV0NmjhEonLxzZGgN4FTbnFAevlu8tboXYhN-KprHsKhSYb3rzYPn-wJEjBgAHwFiD1utkr8_4ujsHnd1qMHpG3x0byfZks67CuNyf3gC2ohK_O69gWqBCboYMWkbiY_9CvoU4wbk9MYxuSq3jSCICsAB_takFEpuyxk2FNcYmTEbOKvqQvYFkmpZ91hcLo_LfNYBVQPzqWMc8VcFo4JdpqOEcDg0o0ht4fgVMtuBFvK30ZhXeV4slZ6G2SIYDGkj1kXdf5-esXqOaOhXfnAeZcjxSL3g&amp;type_route=efficient" TargetMode="External"/><Relationship Id="rId131" Type="http://schemas.openxmlformats.org/officeDocument/2006/relationships/hyperlink" Target="https://qualp.com.br/?data=I0X3R0Yak3_smzoVHZLy0EIHHgCXr041T3PqHDmwBYtudTHkS2qbVs9n6zCWnEAajyucuRjVoBzXpusOelb8BKhT2MJFckeDCiWG4qJthz322VkUmLLUZOrRB4CBtQjKcukv1yApCqr4sffe5ApS6B0bOqOygCXPX3sYGPDdbb-MUlS4eTXYn3FeGbrrB0DBYMeFp1-V00dQvApiF6uCw3ZY-3MMumvoIAEHsBS3nmrrjs7GSTMd-T4zQFBMMVUgrKB-DavhZmG0wS961JZvtgxzCNJv7765Fajyrf1RYq0EmfH7KvYi6kybBQqus4Kka0dAVeMGLD7qYyEmG24chrwl-hzIg3agjSuVU3zjmUoFQfvTWc1h5NHGdWKiAx3xZmBH3YanhR1dGT86lzyrF2OZF4MTc2qM2a0X_oJQA_mgH-WEElJ3F18sAZZ433sjIKz1A2wuPmfZiZ1I_HjBdLfKDvO3NT0TglTtZN3juCum3NLkQSbyKQ1q7NMUiXq3UdzfcbehUNGJH37OBjloqTGE3qrkEpfIAQ_LbfzWVHRptIfFrc817wo&amp;type_route=efficient" TargetMode="External"/><Relationship Id="rId152" Type="http://schemas.openxmlformats.org/officeDocument/2006/relationships/hyperlink" Target="https://qualp.com.br/?data=_l5Xa-ZjNB9eXNcAZ228lO3nCO-PHfoMPdolgfzQzJ6z3qYMXzh89gK6iJeAk9_ljSwtjV-AoiHbS_2xCBwttpGOeL6-jeGSGO3iJrSFQQDTvXE61TPLWvTO432Y1aIABesTmmnzb2Tvv5vRcE2p1nweBlziaA99ds5qdDH6n6W2B_YCD5JYHJsOOPdU8LM4M-tv6pVs_843LEXzlTSbUTZcdMRI1Jf_uaDYbLY9Y1g-WM1dgOzhRzXki0byeM5fdCAKTSi8MDcIBWpMgZPO4c3nFdXvoYtp_lzMFVcKS3OzYXxinxojk2ucWUSEYDBy-8hDWWEs9lK_ZRAcYwLZkEkECMox0EtZW0CntMr9c9PZhYyZ6Y2dDXK4fYv6QF5IYHeMM4izVacgd4jEstSJvVqQGY5VVWKb3QwQwHZ_d6dLQt84OdmLrkHWDtwPirMI572umMuBruv3k8f7mNQq_m5O7JqsfqLncU2yCs9O0iW9Ndf59hpPdYkRII1X_s9RBTxM5C3RfxXkH8C03UwRdJpkpT9iZXpoUKyrUR1mX20QVxHp&amp;type_route=efficient" TargetMode="External"/><Relationship Id="rId173" Type="http://schemas.openxmlformats.org/officeDocument/2006/relationships/hyperlink" Target="https://qualp.com.br/?data=DDGRiRoOkGvHXlOCYKQl-prMTVJvLUVPYd98zTfJwMxKzrqHURCHZ6vDgDRMrCuBVnXXZWQgiLAn-M5hffIu78AstUOXKCwCIBoQ-S8onKt6JshEbvksJ-jKX9D1pfG-A7i4Rj43BKdpKtXfXuPzcONtfBD3tj66tJ6T066kT4a5GgK7aPNz3DdCOm_aV0nRKFSIYJHa_ZZiZhvaUMSLgNgF0P3PImQ-mola2u9uTCsDwnWFonTlayMIQ-U4DdAdiRd7r6v7e0vm0TB5BcClCBMpixaKn2kFBmARY3gvTMabtCWMXy7ikNfl4ssbKq0Ww_7xOqKY6L6l2cc1GLpJPnPrsUorgI8ViIybOVIzssHrr8B93z3Zt1gZ5JZQQ9pjivYPOIsWwNz-k8lNNZhI4CdagWqBeTHSqWczE9tJFXJ3DeNaIH7YpMc21kAlW8E4dqb6TrLVmVD-kRn06LZ1G928GzDegh8JAMNPPDevLGsBlfDLxbYe7IDUv1NSLRCet_BwrMSnmvQhy1lxFz99zMssRtXiQnqSrbE_K7bSyP7UKw&amp;type_route=efficient" TargetMode="External"/><Relationship Id="rId194" Type="http://schemas.openxmlformats.org/officeDocument/2006/relationships/hyperlink" Target="https://qualp.com.br/?data=wd9bu_Oaw1_LivrQ6vs9rpoOeZBhfB1mVD9_GnmPKBFwmL0QpfUQKBFu5XuNvuaUdz4NVm3pBiqoA3iO3mtIhYkmhDuBUoVxrL9CoAwK7mwrMDBmuazCAzZOFFYGBJ6_LdMWgI9UxiGoNQkJFguGFl5YiduHOcxHzjaYa6Jqj8qgeoSC3JENHK84fWYKQ5pCULTFqnDVddehWrL4KYvgWonoAXwMUMpgWeJ-DESaB5nQeLisazRzogrW3kxxx_MOaaR4useXiPsz35uZ_dwbo5FCD3iEuEW7kwWWiUfQulipRmD1y6B2WMPr0Ye805P-BJaA_KuiYfms-NZ6TmLc3g7dZZTUV7mD_JwilxPDaxH6ngBz3pLLuouMlHs5sAgqcqeF_rueJSpZ34XNE2e3ctg29Ickjb-O_UO3E9VA5kpv7uBAckrSXAsky0qhJNG37AssAFaEsAm_xq-oegspBs5r3qPEOUKhBta9pGKxc7waaZfkhvZI3XD9-HzO0zdbo8nuIQyZ0rDcLibB0KtF8-UOu9A0Jy7ytMVqTDs&amp;type_route=efficient" TargetMode="External"/><Relationship Id="rId208" Type="http://schemas.openxmlformats.org/officeDocument/2006/relationships/hyperlink" Target="https://qualp.com.br/?data=Vit7efQ9VR0Luj4tRXkTcaxn4skmP08ERqtyQseVgvYW6viqCL2DOenpn8nAn4a8S2XPWU8-vVA9Hmgk4I1hraPiABiNf7iRi0hN5nMLKlY64Z50KbVHMaza-VnDQZefxza6NSrFtdjTtmJuUba-3y0Kl4uykETaNGE1IO2QOm-Uy0AZ99HAj4UPmAmPF81ZU7TXjRY8R8eIna4mjeI-rfmWn-9KcfcQi2jDcrIK8NrA7QchhcvTWa8p7bUNzePPmZZsL6oarc-dosT51NQ1vSnCK5wnMmy6ov5eTJztzIoKdBLwR5XUWdqWZrI4dzmTYtkLI_tkdIevzrj0vKxySWdvq8LDJ5TB7TaTSvOn5PnP_8oANV3aASmLlxLL4pzBcP0_8x1OMnlu88ioF6zhzz4ooWUNJ6DNIma83dD647GJa6jdO18-DRPoBp_wjcaiAJsslaYvxK21a36VZvgjTQ8Mbi5gAiRdTh0x5DvPLEq65Y8B27YaxLoWZIaY3aUnluAqhlIL0MfvDiOSiCpa6HvctEIDpX3ZGWi4ujBArcNE1BNOXRNr5Ii2&amp;type_route=efficient" TargetMode="External"/><Relationship Id="rId229" Type="http://schemas.openxmlformats.org/officeDocument/2006/relationships/hyperlink" Target="https://qualp.com.br/?data=Wgx6yDaIXm-gdQvZkIj02Qau3bsXWJho0wyeoRDjOiwFaTHPf0aG8W1NNi45AdPA9RMiMzaOoIHmh53NQF-gq_0Wmr8_yw5M9i_g-SOvd0kTG_YIg7Wsn6AnWfM7Dl_bu_8F8e0RszWKMCpAfOi2Yec99YibWlz1289Bcj0xUTS1ypledCBnXXocSJnNXemxe_vpGxtiFhdThSZk0cEH85Gd_XbPEx_QnWwQTGUSFyOv2FIjVTvUNNYxtXk4QQJ-ARhbhm9X34VSqLBIFtJJiuj0y17v6HveozN67ailqbasBJN9aDP9t-VgoAiEZcKUc3HNB5a6hOqms7da53brpF4P86qwp05StLg1pGJWBB1lbuOEB4g68YFo7Ra8gGwXs3uU1fzMnwXSzfgfr3vXqdr4Bd4G0BlPnRJ3FH31Kr7XxewOzWTCpHyq3o4CY3MrYYziFJ78mBiueSisgXhLrY24jnBXdRlYDSb680uDsEveHlHGXfPJMybSmB-9sRHGsu8MnnzinbPBrmKiZW6n1hBVRc_UZLDUU-LbnT6lQFQ&amp;type_route=efficient" TargetMode="External"/><Relationship Id="rId14" Type="http://schemas.openxmlformats.org/officeDocument/2006/relationships/hyperlink" Target="https://qualp.com.br/?data=-bFPl7nmaoYBI6jd23egqWgWN6bYZWPe8m2Dv9TY9ftM7Ft7fi67-RXlAKvf4Ze60REmhNMy-zATXRny3kMGNTQuUMPCOy2ymd5qNpOQSKaMM9aofSSPcNMnnfPdtb7Wll00Psvv9mBdZmdjcYOh-qis684XZP964VLRw-MkS3nqAMc9Rg2X3sterEwXzPSRLlqDulzT21p80RgGfJlshBDTl0fR_2jSPNJGibnVE3yE07kn31FXbarmvr3FTX9SuE1N1bDofKjkSx0nJTiBjOHPsORrdz2Xp_07h932MfkmsbLDmHes2IQzlc4Qmz6iS-kpI1puLfJKdvtKLgdZk3fJpplVKLOWpmyBd6_gDrynhnWgn-s8qvqBZDHyksi9aZ3Mko33mUb7l6yuOKB_WInuxBYTmsqNuFCDv3q4jFjer_EaC0Nucd7tog2I1wXHqUuJJoBzwFi3CQHSiuatX60UdqlRWvLEq9EAHT0Tsq3rkrTYUDVN4bwKL9gXTEGkaRmM6I6Lo0bqws4r5-faJF6sz4VfGXf8nxq2g7rvTbSKAxqswk1gX3FFMLzQPBorSfBeGg&amp;type_route=efficient" TargetMode="External"/><Relationship Id="rId35" Type="http://schemas.openxmlformats.org/officeDocument/2006/relationships/hyperlink" Target="https://qualp.com.br/?data=uPBPSAdr1KZW551VUmqpQBitzMkKY8dESKLldZuuhTHkFCwdYjaXaIwt0pOA2-bUDUaIxxObVD8VvkcvLE-UyDeVjRBIX59uiFdb-gbsJVnu66N2S6JxCw0rTuvRd5HwXggQE_J0YDRc0EXQiuyLpdbjAgkU22Dbi8uY1MwsNcX6zJw3D9piy0Bvt93OGfAvaUI8xYlugJb-hSqgJPxLbD_3Ahq9uMsss-lmxQaPTQqvYmwBLC_sCPO-xLXGTl_ylWerDh1ZQ3LtMXRgXWc9cuEI1bokUYW2G2az4F3_G03vHuBd1dnEW2HH8vRhxPVH_Ow4x7PypInk5G-9vjEkBbKdRQM1H744VItkhxXSNHRLJDCsH-7oX6nAUhWzbCHNQMUOMM4X5R_JCM9f7Kt8EuZeCozhMZIjD0bU8BKECqeCMI0PshT3ElcYshTnJnb0aHj5VQxfL8OprHGJlMGtd5vNr7hDqRzOfDFNlCgS-86SXxi8bn_O6ymz3-gpbmGgGuXvz9LSl7EBJTzW4EgQYkyAOzbmwthWv1AeGJsGSdesaal4NqljtjzXKxxmnoXXeSVBIlg&amp;type_route=efficient" TargetMode="External"/><Relationship Id="rId56" Type="http://schemas.openxmlformats.org/officeDocument/2006/relationships/hyperlink" Target="https://qualp.com.br/?data=FSMCUK0illLoTrgW4I_QVOAeKNLk4y6-tLFr0w3eQkpEzu61mobjuV6FqfgneHNKLSivCJMGdqVa_Rlm34mWT0TGU3_21oBk4VFuo7YeS0DABoCJ7IyI_BlwytPqbF194RXM2NzmhVFz_FbCC2rNdjE6piy5QW2hpLopo6gEZ8Y16uvW4hyIfRQuzTRA5llzmHY7Qurhr77l4q63JmPmUMsf6aO86zJNxx2E3JU0h_UzSbxUPjBacSJIdn4-hdaDAjdqto1Vj-cJ5cdkXVkuAniCyz_X-CnoOOmlxQ8jA07VwNsUG1fDkgshe5GDAxzzHFwQbdNgx2Db47_e54yDgOVk1vX-qHCrwDNFLpJKUngERyVLss7spamQlxAeYFPAQa5Y9kshWCOM_3tqjNRRZfWVb5thiPxlmG60BIu6z7M3d6K8WmcTvOWfYw0ebjKV-4dgBJpVbEGv1W4H4LA83CB_T_vjtFYGovEmrD2VOc6S0LIaBR8DJlWDP1DIrn8QEgXs8K4sYUUQAxG_wzMvkt2QC6iWn_-yTgPzfnLh-qFof4QVpTI8xoE0CCq3AA&amp;type_route=efficient" TargetMode="External"/><Relationship Id="rId77" Type="http://schemas.openxmlformats.org/officeDocument/2006/relationships/hyperlink" Target="https://qualp.com.br/?data=B_FgExwvX8IUpgB220Oa6aueivG9id93TQefpr5MzSa8Uz4OmTSOw00eP4c2Cg6ArQaAuy3ZwfL0m828P4LbSEGI2ruBoTzEt74wiYS51cdprKGYBrtJVy2gkiWYmCv1pNHHsVdbA8rPoySM7brG5EhB4kehEy-AAkInMQYtXPhkK1SurvDtH2WQ_sR0fUTcOU7AucYyqGVhHb0fqquWS2WPI9XEdmN9mth79dYkdlUmGDhcYP3R5MS8T31HaVghJMnx7ZoHEHmXP_MuvJC06yUEywX-U61xZ62GCnshfqOfB9qfl7m0YPOm5fQZ8Xi1_36IewjAEzcA0eGN4gx-Z6fwPC4Iz7RN4qiG8Cpz5YcHCJXRd2FVpzpMfVr28lJSAcA7GpFA2w0B8vOFhYU6V3UGIvw8JYu1xQNhD1ykcAIhPocItQfKClv8_cmNqXGRlTYu9JkoZWb-UfctaZtImZR1B61HKTxKFd_UXHZ-TZfPBwN4yKoiHIIHx9nDgVUkd03wFX0U20NjD9nMwK_HHjlUqw5GC4diwhlL2SBlo-rZXCo&amp;type_route=efficient" TargetMode="External"/><Relationship Id="rId100" Type="http://schemas.openxmlformats.org/officeDocument/2006/relationships/hyperlink" Target="https://qualp.com.br/?data=M6BiyHzK_xBRKdmofUTarL7KJlqY30JIRFJJJ_8RngSLFQVzZKtPBWs4qAV0Eqk1cA6vRvzNvJgsOI4yJoqwvDiEymt1rfXGjygc9uPhqKwzLk9spIUrXWD56vMRhqbN6Y5HnkauenckdG0YmlMKRpMNL1-gOgfwtxHFcVDvEfqZidwEY3noXo3XMGu6uCNyUWcushOe8LL2CvxM7R3rX94wrpX0cXTbs4gp0i6DaetuVW9n60kRTU69WnD_p9qKkH0-68miTCvt_VRSOpivRAXEvc1qex8DwS7MGoiYchFzo3WyuPco2BXCLVGXNDVhjsjwjTcS3-w3Q8faUg_oKuIHIcqrEyQfh5aujA2oc8n0M22mFFLbrI-CjK2eyoi3qyq_WF47pQhRrFR6_72xZM6strMzTsdgjfXD5KIKjBMpILoHwqbc2nBlXW9jDoOSlIs9sBiisivUHgZo_Ds6tif4aGzFm_OmCH1uBKIItV2sAueJar_V7WoB_p2mmPUoXEeiLuD1MoOFHe6g8tJ--FWfu55_ex0OtKPK6FZO9Ms&amp;type_route=efficient" TargetMode="External"/><Relationship Id="rId8" Type="http://schemas.openxmlformats.org/officeDocument/2006/relationships/hyperlink" Target="https://qualp.com.br/?data=4txu2zOzngjGCMp4Az6cOnGaG3n9B7jplLBe6NlYFLO3iRmJLtDQ7ROv6i0lwbrbEaj86ejBBnosoW27RqVQhdCkUAlRRhQHWoD87phIgfVwpQLBeSs_msFuYOtANGiyJHk8QK0MmIbTwV7KbV3BCj3qn07fmjaFIM8heyeYnsMaRO9_-JqLhUFY-zaAv_Fg-TgRLvysQDj_UqGGyk4qbThlgn1mBeqFQjnwIGvzIl0XXdOl6gFA97vQhMI_QW18XwzfWlDhDQq8JN8150GpPaEAWIKgK4P_BcbKMpyIm688VtMAT6_gQrA-ZMGSR58BWG8cTfVFP9RxBF05UYVL8exZTHgP51wFL-i-GAHcaBpXF4eBSArSsxwrfpylOrtZ3A4aWIPKhLR_JEtRZJZJ-Hfu-motHlVdZ8vK3h4gR7jKZW5xcE71tzzY5--7BJg5eWM4gc2WUfFo6Aswiw-IpRc-3ozZAjmlY1mkcw-6bIWyhdjpl9h4UdOjU1uuNO7N3D4kUL9riAPN93IQdmLtIGrYcDfHYxbIeNIJVhsBkr0pDsXWv28Ca1yVzcXdi8LFN0W8op60dQ4Q6HslFcrIwX3BZGU&amp;type_route=efficient" TargetMode="External"/><Relationship Id="rId98" Type="http://schemas.openxmlformats.org/officeDocument/2006/relationships/hyperlink" Target="https://qualp.com.br/?data=KZ-ThMLkXjycj77lJiyyk0vEyETstYs56OqgqMNHW8Rp0Vc_EzNvLNBtlvew0mCUDb2IHr2IJbaiYRke-3Ij0BjU1YS4BrurkE5CGeguayHkUHvnnMke4hMzqdp091i0nViyzIefYbC8nZs_nR_Zf41s0QHHBqpUQZLKe_vbmSJLD7vwBVKU1mi9fbnCVIlvQq6axxvz7k-Owohp9WDWS__dd8jAfPJF_tVB3NPbNdTdin_MdfqmCU1jdoYtm3RVfYSS74cXwLtLwE51EQUXkc6OHxPl55QTaw6ZWRdu3slp9iXhhdKYzRb808K_8RoFfnyCVmCHKymsCZDDdCP1xlUwZ-jcK2VAlHUYh9BdA6c2Cgqww5Er2Bl72PSErOT665rZPj0HGNmKNLlYQ8ssy5hjTI2Qdgp4PLJZlRnbDuhpma0z6SwqqxXqwIZVm0F95crPFVigwv0wyHhQ-ed4qlJNGdyaFhH-4L0BrkH8uM3htiwkvSNGLEayU1TCpJJ8gduXsLnlFAL2idIi5EngjNTcJm1TahHa31971gk38trCx3vs9xqa&amp;type_route=efficient" TargetMode="External"/><Relationship Id="rId121" Type="http://schemas.openxmlformats.org/officeDocument/2006/relationships/hyperlink" Target="https://qualp.com.br/?data=hTGzxuDFZnyoIsamUAkVi-2Ed3T3ry3cCptZJU1YXj8J1u0_TF9aGeyrgl5Z7JFDE-kLSx1FlurpkF0oCOJfdvgrSwy-1Zf_1o7IjZLAF9N_nmTDXvVhyqluv6HGK-qrYfy4sqlb0HHhqa3wZwEAXHyRcFq74vCoYKG_IPyYcYJihdk3OF64UT-TazuMhCRiKbdppY59VwQL2kkF2W0efKg3eQihKrD3dbNftsBWIOz6pz37-_OWY2Ntl-7YnIPkpJT-1Tc-OvEvqTMjF7_XgHZXmybj9Dp85JHPIt2rCSFLJoW28bczO-phITswruwLwiEqDa0YFLRXpDnJQ_cpiDWf0dNED-1fVUfHDHKVKpf3Jy8RIqvyTgfE7clNqF4pV8I6Eo4SlEQszzSU5Afmtq-D_1gjnSVHZfZlFqBpFx89m97BvjLXiZsP1x4hFBXjuJa0jMulRuYRvb7xBUflU9PMWhO6UkTJddZWk9PP6iC4HbGAM6oEshbrTSXGYCihfIl0ERO56fRCI4BV0icyvNSGkbY5kAeaamLneTHkZPg&amp;type_route=efficient" TargetMode="External"/><Relationship Id="rId142" Type="http://schemas.openxmlformats.org/officeDocument/2006/relationships/hyperlink" Target="https://qualp.com.br/?data=OL19JhL8lEkcV4E_bPxp6GJ0beq2m_hPO0eAbgwAN703N2Nidq8tSEbfwCBSPjuIPHVTRvvAjLJJTFL_dCepn_vRz1hvBDhtfVzfJ7ncZMQ_QwKgQh_Zv5p0cRKXkxnu9BH2N6Be_7N23Mu9s_r7r-SklzDIrQvKcs1mV6d1x_VAgsfCcsfohuMSd_NiZlsaGMOQswsaIMx_rOuPHG1Hxnktf8rw0UDmFFBORMGtAiqoEqtugCQK8i6cPK_UGFOdB1IuBRw0_usbBfhk6f48FcoFDnXCbhA6l1OS3FBxCM9yVriVdpqQTzl_QBa5gPxEaoB8mrywClzrfsqjbFDZONjGxM8LspvwQwrSeIWRaHuF5gZap7y46-74qgr2wuYK4i_0X2FCBPMTU3NGmAOg-tgn8uy5E9Un8Fh_qqXfhB92hFxBys2VTuGGrONw5dyEtmDMCeoEr6x4oFQyPwwpL48HGvCD4VR5ECLsi-ZvlyhbuSRYVp2ZdobWnAB_KdEtM-3-P1crU0Urw4qZRJpViPTp1syx_epQUXCjR_MVQGQ3bBEcMDhJ&amp;type_route=efficient" TargetMode="External"/><Relationship Id="rId163" Type="http://schemas.openxmlformats.org/officeDocument/2006/relationships/hyperlink" Target="https://qualp.com.br/?data=eX9_qqJHzjiZBOr6DZK-C7uUdcTk8vWuS2nLpRAPsVVu8usffWsRetE48bq0QXbF8grc3V4-aliv7DPi4pv8-Ihb7DQt7tVxb4z8m_GH48VU6ASlqr4FBV7flCRLcVkU0fTPhCYz7TI6wcI9j4gfWcl2IuU4JAmScbgeU3l6GlzVkvXaiZrGKjf5OAnpKPOHiRsvtgHKiwGi3ZmRrBt0DC0kHABa7g78in96NR-HYgdQL7B-RvLAJ1tU9OY5O-Hjhulz3_v2N145SfIZGnP2UCWXHNTznZP4Xj5ADoXQ2FzlAfkIr_iqfXdeiLmp3-5jxCmWt-I1uilCLu7SigRTBwNqm9DQtlM4PZWrhf3mSDY_7zaM8ALKaLjrTBVDH2HJbCNLJVn7Gxr7URoR2QKBCFHO0k0d2TTjnRd_ORXCCw7_MHzGHI6RYp-RzSs0ciNlqiOJYuA752nTIYQwKI3h95Zlitfa9uQosQ37PH2d9tURyslXM7c0GpO15Q2K3AR18vDyNlj7Oirdp83lcwCfmuV55BPqO0BvXDu9JtP7W5ajM5xF9tW3tDmkzw&amp;type_route=efficient" TargetMode="External"/><Relationship Id="rId184" Type="http://schemas.openxmlformats.org/officeDocument/2006/relationships/hyperlink" Target="https://qualp.com.br/?data=CI53sg9DfmP024heiAQIFyOqZNMqFpWg4vwXOd_8Faz7T3RsoZnKC_QjqC3-46mB3O1qkuRSCSvIUHAuDd6yhgds-h_aWFSN7A77ZbLLFCSaWjFkJOEb4UNNn3VkeGVNbItv7hz2vaGoWH3XpF55DES2NBibhgVPTd4KPLCKHC3Bc3IkUJj2g-sD0FwiQEoJ5TUj33_fGanJtf90M4wBxiS9LWWokU_M2K_3zBRAH1DBLkQ1zMsePQQRa98OY2ILZakiKMyC52_HSKgin1GgfL2PMeAtJmMgfSEnP2uJstjZM6mLsCsk5hy0TmTs8N8r2q_siJdhGHs07UI_lxAdNpEzgPB8BdLM_dngpMXycQ--ob_uyb6gqFTMNMb9WbSRGOmsEghLUdOpo_IEHk2AroEEUxw4jBCemjt40ekMYBCse5y0ruD6uYqbthYyqozHE2KJnvAs95v-qpUnYhVucI0kIR9rDVrrfqvja6tOqvP6bAsC1HXUiRA3Kyucfvexx7NtNWdWJEZBzkCGcxSS1uluywiSdifnkXD0Nj7Y_Focuw&amp;type_route=efficient" TargetMode="External"/><Relationship Id="rId219" Type="http://schemas.openxmlformats.org/officeDocument/2006/relationships/hyperlink" Target="https://qualp.com.br/?data=C16PWK1uO7-Eqs3ZlbmwxN8GolsxkgRjK8P0Zxr66QuKmsPMusFXHlhTm0io-7cweU9fs8P5fDk19e3-Pg8ZPELiBA1E-iap7L3PuVjlpc7xBTU9NSoIo5Tl9-E8E7K2pAJFFVY2xp3dM2Yb__4wysHG6corAOtPZqZDBtudcHs3-gev6IZRj6H6_fJHR6hP43QKezpyjtxd7lGz8piltV0yF0er6rYh4djAClSYXeL3cBawFYODJDRfhoDqrUON7hetKdEID4S8YBTa5dhfnwTFRtxUdcPN_0VdKWRMovj-rDtE9ur18fMdtsmCTv3cBCgpEgqbZ-6yrz4Qrd0eVCGIAkC7iGJfzUVRCV-4kIlSy2zkA-kNESuri_mGF5zYifacb1ix1reVFHLIHDJ3qFxNdbi4sAwJVNAMu3e-zlQBhEgQBCGIc9fFd-ds2vfWZh2mzQm0mzrHYcln1faAgTRbehtqPl5KW6Ab0D3G0H4eC69eIgCWLMa2Z4qX458B0JEy9z810SDB0-lPm1PjGa8ZRyqXjsUIN3hEFIT46g&amp;type_route=efficient" TargetMode="External"/><Relationship Id="rId230" Type="http://schemas.openxmlformats.org/officeDocument/2006/relationships/hyperlink" Target="https://qualp.com.br/?data=1wzM2FL-oPPRIgnSlBVgNsBIa_2iOc_73Sn3pP02bCxlikwAl_XfbfGYFGMrzVJp8JwrSSZzVWrTeHcFTbNzPujjPbBs1kjusdoiD0mqSFruwac-nfTe08zChNZdCq3GQbQh4P2OEqaIQB3xAvHLfAxQsxt4G9Cw9leRg33O1-f-wpBeu8DrDpg53Jt0tMpsHmTpTRR_W_aIp3NeDrJVTj5Faad5GXe1TevGcyRIsI7EaM8DJAy5Fz1xK6fN0wkNPwEzPouEvZMWxL44Rd9I3z-yWGqttcy0J1Co8MepYTHao70MhKR2h3F-zgIC6QYow3iJtFLSi8AQXtcIbL25RIjF32MPWcJBXt6-6DgCLp0KguYgaag2_IJbiKuTj4W5UCLBOYaiLpOi1ro58T0UohSoR1e1OLMy95FQQkCi2oeSFuJSl5UIXHuy0m1_1T80NIUvqQ421EPdBs2UrCcq-S084ieHHQFpoqhj3vXALWafqLJxSTzJnjcrLRmI_rjGTMyDKGu3WusVvsCV4XiMip8ktJ44rUIZ4pjYEsEBfwD9u0dwjnU9aw&amp;type_route=efficient" TargetMode="External"/><Relationship Id="rId25" Type="http://schemas.openxmlformats.org/officeDocument/2006/relationships/hyperlink" Target="https://qualp.com.br/?data=MltksipbswYT8zzbLAhYLeuIG-7HLj9jDGj0Xs6aCgZJugXgWHz3HhwGW4nM6mQwwvsS-8TM7shZZOzr2gUxz3FWDANbeG8XjfU0X0ymPLaqsye4iryjTj0QdSxokxFtkAUYpdhVZb8XNgAVJN6-gsCiok7lcZRJhZT2iONibBJTTVEP03StNCzT0d0kCzE59d3JITNk-mFw5k_oGo7JMmASgtLfiEGrscIsX2jqgEiXXY4P1P3NGuvwXnoTFpi2bhEfL98yyUgXp-2X2yM0Zv01hqwPUm2nIx22HHyu7N2ZYuKR5WD0QDuohyxxJgc9iLFMm0oAx8G8JwnTsiZ0zSSsfONwGCtvschb2UuaZWmxcTV9chrVD9i6SJTZxAJQbZZJb-fNakUw54sIJt_KKcPQ0ygg-uT0h9WAQbJ4NpniNEm2egiJ599qmBR10XfUyg5sm-DVsI2intImbAbaKO9IKjSsr1puSCIe02a5-6-ZNtJ9cFi3NMoiMfhDtxT8ZTTOFHx-oYrAxw6TBcrD-DVv9IjDWD8BbhUShxHJuG3lfLW4dfHU5iA6cwFf9016GAbQXgrZ&amp;type_route=efficient" TargetMode="External"/><Relationship Id="rId46" Type="http://schemas.openxmlformats.org/officeDocument/2006/relationships/hyperlink" Target="https://qualp.com.br/?data=8zrd2K05YYCgXW8nl-C0Pa9uNiYwwA3a7ioiLRMHDTRbs_izJzGjtVoFjOQwVqMIoL_cNGhsNlUnN0gxh7tgjZ9Chjzwcyrcx_Xh7jiVbm56QLn5qY8ulOVszqv72x-qKmmEMoxM7lb0_hpgfJ5127QjqClg1Iq6AlS2wl4aGlNYWLooVKbRjtW9-8e_yIGS2L-lax4-gdIXu960qjgr4RS_WBTjI3bQPu4WsVjP9kOVg1ump92MtLD8Td4_z1QLxIFS76Zi61kev_6gbXHoHYLjGUVKjHOJhN1IxOi5Thbr2YTJQrTeo-h7K2XUdgOWMPyDBqHX5RwKijdrmwNXDbJGXqR0QMH_-dUmdQEP7HXWHGvhxp1SgvZrXTtxEx8dGgJWiyYyaZlCpXbSTbOv4yHq3H5t8L7fiBcQb0GdGGu0N9f6j3eYYn4Nj2bnxHJZJ6m9WTudnLRivtzd_p1wf0Mo5H4c2FPVpuEqHEvPXa0qafPMq-MnGtcYOQtriO_mRawlMzWRoGDBPIJ552K6Ljwp8KvKG9lWbJ1409fxN8bqhAXvCQ&amp;type_route=efficient" TargetMode="External"/><Relationship Id="rId67" Type="http://schemas.openxmlformats.org/officeDocument/2006/relationships/hyperlink" Target="https://qualp.com.br/?data=8mEFPBHRW9LxMJKs-Tcy8Gbu-ghC4xm2LNx3p3ccZYeuO141MepJz7h0vLdNu6lxhOL_1LaiSkk1E1lyiE3rmzFrF7na8nFCjP5VbI9K501JOArPnfcA45AuQLe1Y_Gn7iC8vdsj_DPNMSNHPzuLYiaJ7kcnKuVYDvsEh3eKOKPHCXJ-ll3_gZKjln5bRkMQ7KM8IksoMHpQJQPkn6JvommDL8kMhxI9Y4DzXxDQr2_GTOYClAsjGgG0bj189qxdsbNpDxtzopo1y_5EPcvxxrWt4QJjEAmR6kKqXz_JbnkaWG3qC3njUsy9IwaByCnVBU7RzpJn1wLtUvVFSALAgAmDh7yYamvJP1afbXOQchCg_Awse5K2MFxtKuSF0gsfvdDQwaM6L4_UIPm3mzU4JNWbmjdfuabWGGspopZFKZOJfUXkw4TlS0942sR60omFGLCYiMHY91p7OwuDuWlRxWEIJyqhEBtBTKFUvthpij4w076_jmcUIO9vgBRVdFOczxLTbVMgcFolysGSYXDpxMAFInQPM13ZJtdvNSKJZz7u3A0&amp;type_route=efficient" TargetMode="External"/><Relationship Id="rId88" Type="http://schemas.openxmlformats.org/officeDocument/2006/relationships/hyperlink" Target="https://qualp.com.br/?data=_8bOsbtQeKXNyHenWEf_bieWlYcPnQY7QBGSrdtBBofGC5RVWnFFFWSKFVoozVFMGmgwrUfHWm5X1BQMg-zpdbFbbiEWQETg5QgnggarIbvkRCGLCpFS-62opK4-jS-3Fe8Q_jvRmF8sjhXI7mV2KPDyU6eUSrAcoHL_QB1PQERdmwWXEkp6VjXYt41ZtN2Sa3dKbnRzqxr4hXQlM2AwWD9s0y4uG5opuA0QAtlKTCw0eXPIs4Ig2FSdEpqfGL53E3Mob30bpTfKB9JPq6CIe7z9lcRSrjeJMX4WxD0JH0HFaJQb_4x6A-PjirlEpxLea70XmVi0qTBSssYm7-2glF_xhiIlTh4NVDuLMwo0wbusqrs92ZEm3JYoK__QcA_hap5Cj-HHVgOQ0XOazaS8SZsCc8ZTE1KS2kzSXTCxKjShAwRKG7a84HLiK9rY4KPCA2i4246y3EkpQnvUUZcC9WjZEMsaI_6OYO1xnzXsgZIPzf-ntvh6-re_0wPgEYqMaEXMl2HW4h7wwewFQRQkZvQuh0jYN364j1ybUynYcATM9nxjFg&amp;type_route=efficient" TargetMode="External"/><Relationship Id="rId111" Type="http://schemas.openxmlformats.org/officeDocument/2006/relationships/hyperlink" Target="https://qualp.com.br/?data=Pe9KSiWqVKeKIE8CG1EsP6YO7uwt8UexbczawMmtUNszGCDo06tt4aMZ-i3QxnyD9DLzYFIjrQqijBsodgxdfRAsWnhBjPUFrt-rm5SdsZVzjaatGBpgACTb0IfrPE9PGaKvoLg4sOYvZaVdIhMhWGDuZ7DLAIflKk6xJcym5-yKag9eUg_oRObKyYQXNFSrZFUm7PebghWqadQDW0ZDRM6LoOGBXA6fCHgYxfZxPSTXdOiYVjkwsTQVPkV4kgqVJ3pv6Qp4jGS7d92N_lfaT5J9cC_4C9Cnc6vYJviGm-nM4AO-QbHibjQtWFWrkdUv82lhapOn_i6JBu7a9KxRG-4XWgao9cVKdTk2-NgjITn_KgBkTKN_G-LW33x_26KFe7AHKl09bgmsf2qOIt9NjTlp6JWjxp9a2dLiLmS5UwI204z47Qa5Q9I5-hNbVZYtWuDeThBsQrlu4zMqebI5BYgiGQ4LNU3enGmDf7ZtrMDXC_qfVjgrk3NPZbcPxHjMTC2kca-KWWPRRIhC3KSXrNQ59z7d3WycuEH6-XIyjBnT&amp;type_route=efficient" TargetMode="External"/><Relationship Id="rId132" Type="http://schemas.openxmlformats.org/officeDocument/2006/relationships/hyperlink" Target="https://qualp.com.br/?data=9JHdh0rxQLq3hAVumGnTbRGG2OyHozkL4jjTJnHNYQyI7s77MDAWbIEYK9ay9uNGtDqfuXW7R2vvlv2BhC5tVoW1aHWR7wxxZ7oAkJyYa8ZYPxkNDW1yibxKyQZG7_J95cQae9T6_faUq5p4GV1GEQ2xxclieu9PjyrFRh-mD4mdrJ1W6zctblKEGglTYiFbgCPhfcHe9QmCjs6ohyKT3tbsCh_mHsM8jCgVt0POo8Zi27aU6QZtTkrWfxr23t1VDAZKhJja_zl0B3m5D-z0RuLvp1pAmPjgtd7oBoyIxr5sovTzdHWk92a-cc5X3VyoT-gBgdNkfjoV__Zjeq-Ozo9bdA4-EAnmIFSkWVQ_mQ2cbzhC5xG6mAWNn3LM-83Uba0Jo7GhUe27U2KpvHVgoMpN6Oa6yLUAuq4Hsaf8DxWQoDCoYeQXaT9JScYXa5hEwa6A_J8nRZVzCX--E5eaxe_03y62hDPUZp5FT6uVUcsZdlVADr30bUyPcHGxnXI8ZKsfgVCSUDgwoOOJ4oniOmWo9lUBQZArGb1at1V31h4R4Xb-pvzu&amp;type_route=efficient" TargetMode="External"/><Relationship Id="rId153" Type="http://schemas.openxmlformats.org/officeDocument/2006/relationships/hyperlink" Target="https://qualp.com.br/?data=Yif6968FRp3ar4w-47aj1QZ6e1R2LTCJHvFVZc3SIXcOoXDpgex-gtocS6xMFNLts_BBGf3-iMejk5IYt8prLaH3WfhTAjizL1Nz1oTYo_Y0HSEPaNfy9kl_NaPahzwSMdA_-ctgqzCrjmIKP4q7pHOH2RE_79iH-vyPl9g82Ru-67JyqMzjcC1nFMuqwTX8H9eMsfTY07U3O9smeuvDHUhKRiHT88wYl5yTUlPxX04sVZZkItLo7raQzPrAqw37CXQqhItRkeCjLUKX07OnEYfBtTkyGByspYg5ANaT-MQI-YjZv_3PEIxjT1wZjUIq0QZtwKFxr5c3l8dC5dMr7XkJpbTGl7ePVPSEN-yWlnCWRKbJ2gTmuqikpe9rJScHr_SXZPkUW_mv9ZjLHMMz8HoUzkp9QBGp0E8QiY3SCC1N18yEOUDYR2KyYi0HCFsyT_3BZTKGxGje6xVSdPeokEawBaqVWZyRQbRWW6gPZlUblQMeiiUgNoxG-SYlf3EdY6T9t3qh2wjUWsG5150iH4FaOS2g99DpUKpeb3HvuG3A0FME&amp;type_route=efficient" TargetMode="External"/><Relationship Id="rId174" Type="http://schemas.openxmlformats.org/officeDocument/2006/relationships/hyperlink" Target="https://qualp.com.br/?data=jfSbZPdD98ZKxU903PpsLfnao4TW19ukvMrAQEJX3A4Hu50VPB93G-uwlUDfWK_C351_AfYbzYVH9uAH94bhQUnpXEVvXKvsK7RWQq2kIYCw4O2xBq4SBHeiKmsFFShJsI351D2iwx7ImHjzGPbLv-9L96JVi2qomQG7_xSTUezVnXTIMca_zmuFl54klPePhPENzZ7oEFJFr7Popv4IUcDd-FH6ELPS1ULniyCrNvSc05D9WZGOy4p5Vy-_uhdGUYvxoSZmou0XefqdGHRiaMnmOty44s8KL6J2nTC1-gEObkA8Kssm7DT1MMcNlJB4tHtL-nemd5XMO-7NGGXIjx-5Oi1bTf0wJhSU-xbNr99p_WE9t3d3tfY-jJJszmtjZcP69HFTGoeFcy0E9gcpXUtkMiXSKYjTYDehrahqLXNAVzWqbXLFr9tsv07QATW3-eYRgd2_cNCBDt5rl7XdC3uaLI4yUL2lRWMy8fXBPudqcE1BkY5jpE6D-0ConLbI-aulfQ1TyYpzvWg9zhNODfwavtAmLVnM7bmSo_Lg7mGfA2XdIhHfh-U&amp;type_route=efficient" TargetMode="External"/><Relationship Id="rId195" Type="http://schemas.openxmlformats.org/officeDocument/2006/relationships/hyperlink" Target="https://qualp.com.br/?data=EpmQpa60iQMXMGDsOotPwzwL1qEjpw70i681WJyCTwyIrJWyGO5QC0YqvDkNKnZ6ulaI60W-grSf7X0V0EfKDoPwdTqOm86wmh01zh0mm15TcBA1QEtA04uj7mHiiWBv9mFnuhGG5y7sDRjYSmAQVJdqi0Ge-auVXGT_HqFjVf3UEgvosJAX3VLOFFxHxRft6T46Vf1YYjMVt7xCjcF0DrFLY9ck-Twr-nPcqfW-2muTm2o6xBVAB8mixi4-flT43-G4TJuevoWJlO4U1SKsq7SesSBl8JRaOR0fqYo_omyfjVhjT_b7Sf3CNk-w8HCXci7uwx_vk6Mf-PCGoCooMBfFXxvniqnTq0_pigV6YEVla3roHyeirTQN1BKAG7I2L9QfnDvuqJ8snPYb9MANu3MJpAkclnZf0ZFdZBKIX7BuS8QdJoYi7C1rrHWKehLXwWYLgUC55i8QQDqOPk1oFtXbRkIcYP5Ilhkv9gSbPHXDAzAlC8ZxcROMCG9NJ7NZgnx5Fy9J0P2O6QTQC7XvGGB3RMeZfICCikU2IV0oTwMR-g&amp;type_route=efficient" TargetMode="External"/><Relationship Id="rId209" Type="http://schemas.openxmlformats.org/officeDocument/2006/relationships/hyperlink" Target="https://qualp.com.br/?data=PQ2l52Kkb_rTCt1gDfHt_dSUoB4sR6D0xTJ0vBjkvMSKe_SWVazIGFsRtbhSSox1YHc6epUD0KC6KV2KJmocYCZHTREjTWXpKTkc-p8Zbyx1Ne4ZIb_O3US0qEB4HDXpMyx3qXs2IfYV2E5m0c4666fBVEBBSUqJV9lROrhmRFkxOgL7rFf_fFQHudyCe6e9eDvOPqEbUXQOltu3DIcEQjvUC8dKefs0yaCudLkS23BpHjUD8x8LBK7jHClC0vHaxEkpGaMfB7gngghMmGWBjafhf4wew8APBCRwlpZqLS4jD01MvVjjska8fbREaQ7YIb5ozKImKF86Xpkpm4tNbt19arFMl-NO5xgQSNbeL0ByG_Olvo5z8prOlMmFIdi7CHX6j_EQihX1t0uXvH9YdEqiK17BUXfMcKNs7z4O05fTrN45ZltGyHpavje60mEO9nhnLh_TwyG4zWdQb8Xf9xjuZhexOFUdnbqBcDbhMptHo5TKJqYl_O4dLa5huKpQftMJUZwfUnSKk0T0g-W46R14pfBf6QqWqTlT5EDjErq5xB2o8ljo&amp;type_route=efficient" TargetMode="External"/><Relationship Id="rId190" Type="http://schemas.openxmlformats.org/officeDocument/2006/relationships/hyperlink" Target="https://qualp.com.br/?data=SXZrhkOXZb5LyQkNKGx4vMSQsDPHb-P5GXQWG_Msf_SXKEvQME51ne-VqNupVLML6KPrcUqqcQY31oZ3YPqzTlVSFvwwYt5kXi8N1QY4jU2KEZ18AtfuXLPSeBoNjgS26yk-zKK0K1QTrd8KF1lrHSzPmk3Zok5Bx3rQkcLy8PLfxeqqMhlkWiW5YfUKr4aYL1CxeRCSpeKcSAv1b1kuUWjorH_YAmxsD3kNYQvktJRHku-GHRGPysPW_u7aUiNckmJs-Bk-9N3curAF2Gw-PYfk_CK3QBFcZv--A_qSDYIFf1bTT7NAjN7jV5tsvulgtJl_TUgT-QbCFt4KvbGv5Gm4kTN7UbYP8dm9wFVxuC7yV5KXXUE26QqRQSOmvx7qhWHC1M78oir1KSftGbnfiWO6dPsPWhfkf9aTQDl_AJHUpO2W3r4ZFat-FHqg548j0aBt26ASu5EiPnZ7QVIfFHg5GQXLKIIYgJxQwk_ML6I6B6pxakxJAjyHbowOaEx335IJyxBMWSndKoAPI9OljM5DWx9KSOffQc5w8s76f-XqfjSGhFdNfCqz&amp;type_route=efficient" TargetMode="External"/><Relationship Id="rId204" Type="http://schemas.openxmlformats.org/officeDocument/2006/relationships/hyperlink" Target="https://qualp.com.br/?data=R1mk_4MmT7NgWDfTfUt5bW4rG8b9NiX0q2MsBjbL5X1UMxwA3Av6EDCfD9C3V8e1cRYNsocfnCSQzuSIWwPbSpxqcrNPwB3wpbfe9SD864DrDGpxmSAZGqEsNF6koeZf78PquKj7YoPM4NwJmtW5d005XcAZ5clREda_Xcmy_CXuVsy3LOzlvbofZtwDJFVgPZMQcIqcvnzEuL_P8TatKimXVlAMMzieenn0MbEEUauoqJ-llIz-kgCz4eWVQppoBIQfl7as4vwskiX7XN7ogqrruFElNICJGSiKsW34W6R55WR8yzN-O2KGcnWFm_Pm-C-N5vyh0P5mZJT4dTQDpRw-YqqUcfTp2TywjxIxB5OsVoCRUvWs-5zpYPK4zijs-jpYJjI-puGGEMaN_uhIXIMedRi18Bz0rfsTjGj0asIfCvysE8tY-dlGal-jiyVMddxkIh1Qq1n_PRi96OMd8b5UuFNEae1GYhCfFz3H8nLP1JJmolT0DCktoE7js05mNq65TLc2ikd6Uyvi_wTtHuBLG5HO2-IVlvtxZHXsawZxXQ&amp;type_route=efficient" TargetMode="External"/><Relationship Id="rId220" Type="http://schemas.openxmlformats.org/officeDocument/2006/relationships/hyperlink" Target="https://qualp.com.br/?data=qiBIr3m0K6bjSIrV5U_afLM3fQ6Euxx0MNeUl2GbIjgRQH8AOB9Z61wRlBksjyQBhGIxBaA9b_sx4uvtSaQTajNG68hxTpgQPvGhxJykforALgFgJ0OvpOkSYEYU3X4irEskpN_f2txd4tldr_oY4_aHiZ2JJkkH5hlNR1cHw43GXMuGQ9Z7uAUVIk0TDyPhRXk9HDZiEA6AxsWdZP4GRpoZFr5BqP3q9HtbUQqPPMDCCUFC1R6N-ZOKbT6XbELRt4G4gjKl9ekwQgm98cko1rUaV5O3S3XrtICKBC0xMJMjalfEU-gAlcwZ90RMzXL9PaEykbc5KI8ddB0mHZ_R86Vf8s3kE07f-xK2BsfLwaQe9lp-mPv4ohMbTAGb-y7Y92lH1sMOyntiB2NQwagPRORd4sAW7VgakymK0cfyYFyrRlOkikr3pBAyuuYLPlUZqrOH-Qfn0bGsNlVSmZyhe_uAFiCOZBhKu-Hfl8gH0CSauaVwBoYF8z9OMrbfVZd8aPbT8AyE2XAS0HaNBm6mW79PMacEiABo2_rlUeYUZwuRuSb9jbU&amp;type_route=efficient" TargetMode="External"/><Relationship Id="rId225" Type="http://schemas.openxmlformats.org/officeDocument/2006/relationships/hyperlink" Target="https://qualp.com.br/?data=9EkPmIz8R3BfresHdKRTabnxUNipXgZeuKxw2wav9bIN0Qq0HtfPn8n_KGjrAmzroDVO8_Hs6WmhVwCHlNt9CxKHL-Pvg33Qk5pYfIIjTZwQpE5U1-O5CsRs3idHrZpMUPYbmEE-MUkQ7e73kNzjh5T2lcJpNY9_q5aDZKDKpj94PDGqvs0F60nGGu87lGvzeIaF5kPAA2dzX6QzM_omD-R_AFnoKQV55c3Yns1OSrIH0XwJZLBNnUh8_4CpVbNF69tDLG18p7Z1c9q3c960MP5f7LFESHi-BugOpn2ztB8Bv1Buat5SMQnALdljo8P272KB6mfwLg86Yb8Nhm3IhdGH7QupUSMl4F0tAnF6wGjI0R_IpaKmZrpusiRak4OuMGHyEH1QY1MaSNuv-U2-fQ4-gJfSmQRyj_JQ6qynbxmrm-8qdYz2snYwN4ClXU0z9STUZdvU-ftoUWlNmXB1oMTS0lI3V9ZqHTv4B9mIVQFZKULemvBPMENorY1xJ_eCd44n20emm4AARmOAJPI-aQF1SjoqRRIwRsfBW_xlzmr6TU0&amp;type_route=efficient" TargetMode="External"/><Relationship Id="rId15" Type="http://schemas.openxmlformats.org/officeDocument/2006/relationships/hyperlink" Target="https://qualp.com.br/?data=CnnZbS-TdGEM3y6xheAQWjUgZEQEUv2CWL-B01gtUeE6wo8eiDzXRvXwALyZLEPF8U0dtYUyRQsARCPp1XxqOUUoGrJvLt8IWKRHk7ithNuEDpayobfK-UboSD2sHsIrsPYS5kKxUi4XOL-roAHyvTYcgj5CRn4l3LoeO2Y4qB5BT87jY2-QKKNBmzkuw1ewt51Hlht23S6vDv_5ATRpqhW4fy5BR1PQB__gpCrKzIAClB_BX3CI47JCHlTJRFAyApZvak1bP6AQc1LOooJRWt0HhgDklmoyjpUnj-BkgISHbEtov2cV2nckHx4oxcZoS4QFfg_ck9-p6F5MZsk8TFYRIiTBdIrNA0FDUNiW4J4suYExFAHCxuyzAj2hLbilms0wZfPH273eg3yhqDMFeMPKzrou4SE4UmXtaJg9nWjd_jVgfXMwhVqZjF0VISR9IWz7g4teV8WKHUQ9w6fq0fbgsP6V-45JkdLOlBRvhtTw_tnH41skLoC3KpeTqXIa4UA0k5z_qY5FJzEkGRaMrUTZ4AFE29miKVFf5aTBkdrU7PF1AhDonPKz8A_sgltWQA&amp;type_route=efficient" TargetMode="External"/><Relationship Id="rId36" Type="http://schemas.openxmlformats.org/officeDocument/2006/relationships/hyperlink" Target="https://qualp.com.br/?data=gWiYhXmXuTXaL519JkhLpmejTsX0ZPXmkKRzw_6xSKgm3ZxnaQ6YXrSGbe6pL1xBv4l2r83UD4S8ODuWrGutni0BuiY0VBFFYStUq2UFDsbbCp07qEVby-pYrVzmZth2kvmpuRNtcX0p8TmF-fz1WYACn8nZ7x4hbBqWVqppGKfJl8cjRuwTaBwALqs86nwRZK5NNcEry1xVohfDZPYo3nLO2yf-jCSXs-z1pWXXNdd1XcMrqTrdqDC6r1BYpArjG5Zjj1QHd5chBYQecoygUnutp1xWXdn4MTGz_HvyV5tuJFwCa2DqmGRRthmYxJ-GzG193nPYoSkoLRVu7W5l9R9oojJKifVSI3Kd24oIIBW6aJy8fSbOjClpeN2gpmrdp_VTYicmvH37FH377mDszXc1-lRm5ocnFoS-1D75qvBu29Os19yFktXB-YfwcotmyMKq52lYq3FAtQFkyq3tRi4L9kgPTvxegsb9HC_2_deZLs49myJEdw0KEe66URf5IxBulI8HmUws-GXVE-lHrMOwGa4e9kMW2sR7gJ8PnHSpnn3QvMy6SsWhhVFLVD1T9CbIczhl&amp;type_route=efficient" TargetMode="External"/><Relationship Id="rId57" Type="http://schemas.openxmlformats.org/officeDocument/2006/relationships/hyperlink" Target="https://qualp.com.br/?data=jr_bCrkQCv7nVj3k2VsLo6BNCk9BA2I3RjRctEpHdpA5WttMnYUccn8QNNxqC6vUzGbmHJvc83km5MDSif8faSWSGp5Y96KFrHL10MK24M3-OYx68m3XVFZd43Evsv4xsJBNk9kStTzH8oikEYl3jeSEkfWSW3ovelNUhWDe0P5uQRDI9c5x1Ih1VOYWntBwajuSOxFuOOQaN3RYfabuQRtVXaN_ectVSsr7Jh5HqgVEtmvVtInKtnAftcmKayeyWM8sQ_FPNxAqp5UFNb9m3rlXhD_ZBDD1Brb7TeeH3unQ0G59yZtCuZMzZx7zAFxx8GH56GT19Z3xIRsuNTO5vOO7ag_8CYPwFBUQFJtM3ztHaxWkXi7AmTKT4xJog0ek149OhI6DaC7ScUtBln77hdQyfzeDWN2LfcRo1j12VPvwDveJqpMHzTywojpIKbKnm4m2ye4o6-nfpGp6YtbwDv9LBVAXTrZP5Iqklq2BPJ2DA2oKjPDxlyXlrn39GMz4tQ1V5yHeE-h0kTb50Mb-pjPy7XFU2imgZ8lHZNeiG4I_vnGgiA&amp;type_route=efficient" TargetMode="External"/><Relationship Id="rId106" Type="http://schemas.openxmlformats.org/officeDocument/2006/relationships/hyperlink" Target="https://qualp.com.br/?data=eKPkKhGie7h2VNToaXVmqpg-e0dllEp4t3FUDvxAvcUZhll0kmnhDE0MqxJ-jRcJIiGOAlL1O4mmGrT2llhs2gzRMEHq_0zKUYxUYPguK8uE69moHqL8XoGQ4wnsQgcWEOPPsSQbvJN4hLH2dYoGqyX6ZspN1XCxQY8xpWaycUjtnfx8bZ4DoOhg9PbRvVTges1Gkd6GCQ1ijJGUVwvA5aWon1YqjoIW6MfosaUvv2XtXDPimPLDe40sPW7T8YYHj71PkmipQNxCKuhgN4SWYT7nMUwBPiHR6Mz1X2ZlRuKbpCxt1ExOCzl2hQp3syDlOIvEZCj2TtPF3kN4WMNxITccMf4lBGxl8RuYea4HNjU6mdxzb32bCPyfqxJ6iTaEJibJG-3TKVSxRetXeWsLip8p8FnbhrGHbIbvk-9bohlM1yc-UU2tPqRClm_Of2UTAFLo9kxhp3pX3ExWHiqZt_NfjT3RBpt9eAs6hphYlurr_UD0bqx-euk0-w7B5BSjBUUAj3EwfaKko-1IdOpv1uhkPf7_YUeSTORXHiFK1tQ&amp;type_route=efficient" TargetMode="External"/><Relationship Id="rId127" Type="http://schemas.openxmlformats.org/officeDocument/2006/relationships/hyperlink" Target="https://qualp.com.br/?data=pzhzzVAZsEf_9uJ54Lj0HC-1KXH61imKHk_mJZcsN7n95lueP0-UeJlE9c0iGw1A29AowUZC8xK2fhPN6LscrTScIIGwxzxh-P1wlAP__MWs8zxtCOHUbExEAYUVnAwaDZYos1BJgKn2ONa_rJMLc15oeMwks7EPicv-QkMMjwMUIqLHsZwMAFytW9uLxTFlDDX0qO1nG7EpitsRn5HQjvUs1rEXm3Izi2AXOBRhRrC0eWRmjv7Qh3ZH_ZZiGdkpdLpEihHPuIvTpb0HoqR_MQUWxuTebYosowE1wUqZGkFGITUp697qK0-0Da2IJ1I72jb5tyLfMT9LVbszHaZUwYm4JUPLhG8kJGAHaddQQaga2Bub0fLRCVxk8o45Bz9wMuhmFZE0bVClyjiXj9-CMNQUhkv-xUngb3J9O_yXn-TYZrM4wG-idUjyMLveQPK-3igQBfyZGOeC_ZdFk2g7ORiC1fcEJ5qbhlS8EsZH-_-w3CO1NqcTGjNqbw6GhZAMkgifmA0-UtkmT6ELj0kbWoH0MVe1vNTjOqi00OvHFg&amp;type_route=efficient" TargetMode="External"/><Relationship Id="rId10" Type="http://schemas.openxmlformats.org/officeDocument/2006/relationships/hyperlink" Target="https://qualp.com.br/?data=7nuxjoCvlYk8N0CcBtHUWvn1osGx1Ua6JfYKD8bAaaeJVX-wH3EPqu8u7RtgLV_tFgfnDcqnokNSHUJ2nLt0hQgTOgEB_7-km9gxM3T9DHFYAF4wvPrYmRNeygz3tmvjAJG1iJhedSXjZLA5gGbnWZz9WXcdCaK8CbeiAytm9Q6mNvVHAiCtt4u4hdx8XQ5eV2isqtknuV3yTMets4FNoWqz67AemCtkppW2OSI_b1v7HHDezPEhOlOy0SdqZ3Br2loLIx_e4eNi7roXwAHBcAu1bPAuOeZlFeD435tTkUGCbdH0HWnsW8_aNhPN8h88YAvy_s9WTXbKCncsK1YyomaBJtNYVGWKEboQO5SS42_Mal0o9WI9Z_fxO9SlOWsNFs16ErbGMMxYZi_jQGO1kuW1MDHGIArVN7jNEEmfuphbHTD0bbR5floR1q2tmuOPy-XktpWrfmtUdtKjAlvfAzsi0xuRY0cR2kwCMaHaIfYDgD64Uokjc5u9RXlrI6WrQXw2KYdXo1F3PNPB4G47lPO40W3zek7iQ3Klrp3QCABYEvs41O9OucgiQJNZFtzjflWXlw&amp;type_route=efficient" TargetMode="External"/><Relationship Id="rId31" Type="http://schemas.openxmlformats.org/officeDocument/2006/relationships/hyperlink" Target="https://qualp.com.br/?data=Nu2UQ6A5msLCPL9h258ptqEUPPefcVAYB5fFn9qR7_Y1xKuruDJLjkUEoehJq_gqkz_gYBA23YMnyhHKZWi8K7XoqzrCL5cN_xSe_HA7xsRon1kNM67PeKZxtlTvP0WpmOtuF8eWPrhZRpjhLOAP3xAFnmFGCAxdVb-fCEoSQSMqhNTt6OSQIRStxTSmA-RUITpS6tFNzbtNNBdc0yItW4dU-_w1MExSs_YhSTTUt9chSGhdkHpRdx8nteG_70e3Y8yCDz_9JLvuBJVNeFM4c4X_QQLD96y54fLhqi3cZy6xlLUXzPXGypQyhCuyJAZESlUu58j_gsu6Gc_lO9Cz3SFfygCpKq6EBoYMEnX3d3eiPBH22fR1JWlGWd_onMm8Wb2iaAjQa-asUYkqle22R3BM8JXI-Qj11jImCWSy8rrTlbSSBL0Fo_DIHGf3HL8xMPwIqj76RcoYgnaL9kTCR5ZakpOdxHd2GKoRin-RwDBDaZSqLA7pZg4vPTGjs1ixqT_CLNzN0zap3ITnKKnhYEIDV3yuvHI8By9_nPxiC2SZ8V_BwePUnrnbGLYoa9NGKTh_r0fT-A&amp;type_route=efficient" TargetMode="External"/><Relationship Id="rId52" Type="http://schemas.openxmlformats.org/officeDocument/2006/relationships/hyperlink" Target="https://qualp.com.br/?data=4_vw7XKsOu5wsyz5epPyf4BCqN-ln49BQwQjQMsOd8GOGhze-YHcSeRcCLzq5Rp46KsdGxSPg23askl5_ye1XZsd1EeagNdq4IWaMYkMANNPHTgeizK4eBcYKNXKBzWlAkNwv-KOoJ69q6N3pdRoavjD_XYH-wzsDrydYl92Vk2jfOq7Y7UbTpoTiLn1Ok_w15iM8-9p3H6asLWrEcKanNoHq9UE9pbhjyjoXfMuBIe6sgk56EDuIGf35h0b6Pt1PWjPLIHGRDBiFSRi2o46Qy8bNsLARdfgyT7ljR2V3S-B3Dmo8XN_Q9FojhDj1nrQfZyTTb6HpDqAt-AR_d0Ym7DFUUgLRWiFhwB7xcLdN2eFoeZMWUK1rRrhHwIyAuZMw6JxmqUQgNygaQAKXRgSg4chCibEnA4qcrhUYTViQ2YTO7J-sBIGfSOrzkPLQNttkpglNSSwic65hnjwyxDSntAxK9D_--G7rqGNihbnnuxycryn4VhNUMS0T1lifxH04pDD8bE8ImEMBGismjSRyyR0bUEKMl1cJYLWP2MMPVOX4PSTMwe_ReWO5A&amp;type_route=efficient" TargetMode="External"/><Relationship Id="rId73" Type="http://schemas.openxmlformats.org/officeDocument/2006/relationships/hyperlink" Target="https://qualp.com.br/?data=PkT132vV0rIjifEGjdgE4xXtU-Zlhi3DZxziAsGnbOJ782nJCc0-A1ZAqUr3Nk4CwutmrkUVZ9fsa-_Ennyqcboc5loHCOB3z-6Cd5MmcT0WMwQpXSQr29HCG1o_0sJITXB8TMX4M7uYANKdjKEhvcQ5SjYnxZBWa4Oo02-nawSUjmqvD1ZU1JHr20bKf6Ei0cutOLehhPxneoj11aGZJQBisGcjAXE9Szd17fhDxt25yuAFojiRuF1jG1iYyr9ojHVGj-V8ZlMRR9rI_vKpAqiqXeOw66ZxwgKT0eA8K3ifJ1gNTqzZoPafY19VIfOQwGgEzkdUYdQSZ7yx55Bf4DCNpA-b67IRMyoR_B4786e9-1Jy3tmcU6n1aF6N-QvaBeHaq81c5raRUwNm05LH1nTOvBStmgXdCKJR7C-uDgnowHsWXsNXC8sLQZZVo5ZU0u-9No9A3iZf-_M34d-6_DS3ubzhi-hEkEKsMQBp5SBagQMmugmAos4UfAWElU-BdHsBPXSKKXWjV3yPBK85Tjf-3tQBBWYSSMz6UeHqj8MN&amp;type_route=efficient" TargetMode="External"/><Relationship Id="rId78" Type="http://schemas.openxmlformats.org/officeDocument/2006/relationships/hyperlink" Target="https://qualp.com.br/?data=scLxNxPT3QkJrGNSXnnSDW8WG8OZmiAreSxf7RC4O0k49Eg96sqpZqjbb-qkobdM7GQRtv2Pi2q_jt9UsOxp4ctn-rQeC0dyn-mPkZiy3umeb1xV0sl2ZgynycCWw3UjnQgpRdguxQKQ_Rvs8Jr9w46A8DyM-0epcOrlZEn_QxN5IVUU99uvKwrk62OsnVMb9INk0Y-7UbykmJd9fKfen6dbo-QZP8ZTL_Hfu0-9VXltEPES1hjU-WoJoEShrsyeROH7iKv7iiFKDelm1hGKVyoJthiGIW9PqvHyg1R7-nOgQN3wF9R21VsFuJKumNXrv4C2xBShCLkrXZrWMx68gKyT32MdopN6bZ1GjDiy3DAi6wWd0DC4IsTUYNaYYVcjXUSpVEQpX8slOYorQ-pjg8QPzzbhI5T9y2KFrUrJE6OhjlftYuwSWbrb_5Iwl66j7OfV-5TCCL5r_pfeq304GBm0rhAWsefpO4TO-mPY2Wa_FpoDXIFOJUfKrgvOHUI03bw-CEPsoW7uvI3Xb-w8bvu-QuD6ibJyZ7_TkEfjGD7uzXji&amp;type_route=efficient" TargetMode="External"/><Relationship Id="rId94" Type="http://schemas.openxmlformats.org/officeDocument/2006/relationships/hyperlink" Target="https://qualp.com.br/?data=xPdERsLYs64pwtGrxpkB7fafuvNxHwzktV5xt4p3F1H5xJ1RRENpWbNNGCRHelJiHfZmgcyGpnOfrG5BpWgbgbys3QDr5i-mqLf3oyE3UGuoYW8R-0dOEbdVpd5HjuHvrNIPjpB8e_SxOC-_Bn9jja2yuv0gP0TTWdOAS71nnKsEHYDx204237zJeZRrDr7IeGtJilXDYbwz9INH5iFddgWTEwHc7iitEJyPlng9siZkotH_NDJIL59oLQuXCdpQd9NVU1G6JHjAJTS_hpdTZJbuYPtd8bTm_-8RvLMM4GWvuVaTYSfnAn7I_zNHoQi5mtrLrxTpKo96NfpDe3GCwN-IyBz0JtqE50WNsSXn6swuW2Jo_OosFxwp6WIf9GkZMF64X6yjppYX3FLwceB8iyYG1FEtAh5RYfLgJEs4VQGhXuNHJ8adJ0Gfqq3byYmBpGoGwnnFiefCs4nYZmnALdLgYQWt8o7Y2GyAnlL-_B2rejO__CPpivUoJJCX0cKpSusnpTgYHCz_I-Y20Nd1UXRThqyC6WFcUBBgrjUrY5aBFpNb1kW-&amp;type_route=efficient" TargetMode="External"/><Relationship Id="rId99" Type="http://schemas.openxmlformats.org/officeDocument/2006/relationships/hyperlink" Target="https://qualp.com.br/?data=yymUE4GVaFCVBXo2apc8lU9tTLadaJSsvwEOAI2ItbHFyBGpTxHG1zw7CatjpdrRsHXgImQxT5hV_pA8-aAfb7jlO_Qky_LDR2jUT-wRNcGSTMkSNc_ftJRGiRMO9Z-312i0qoerTBnu0aFAyOwiW57LkuEmebQbvt634CuGqSI7RHT5MBeMkxocvPgi6kX_kUeeGAjWJ6YdqdDD-4l_tqBuucCbD-ejen72s-yN9xo_JyMyAH4q9Gi6Z_nySRu8-63BstGurW_iDR8KP8bno4QAhRww3Y1Ya5kaqfIZC4brnpLDQGcQGThTSeVQ4fZrFWzvenCojsAgGfEnqXgjtObZoniCrwccsBe5ThpC5IhO_3FSnj8XtNqGFTrTj2LFZ610wvmoz5DHfF-sWDisxnLMmxmjbSDWiJjdaWt8F7HsK1m-G6pVpSOyNLe89U-gORYa1pOi_DmH2aSTIVkq5jeozQx73ZgJFUiyNLatmfDHLft_Fa5K8tJ7HyKeyHQkeYsN6MMcLM-tpKsue_gXXygOmfqHg9h2TQAb8NEWdcXVQjfh6Q&amp;type_route=efficient" TargetMode="External"/><Relationship Id="rId101" Type="http://schemas.openxmlformats.org/officeDocument/2006/relationships/hyperlink" Target="https://qualp.com.br/?data=EguMNY1fb0O5wZN2562jCbPy4HhGIw0ltF5rNxODfDG8J2OjpSmelLrx2JNFX7tLVbUyv7Cd1f8uctPtJexLwlJj3DHotWDnqr01fEoPcluhEgvXXINMmBEeAfgNm5cgxzKIIWa3_Cz8Ix4QoyPKqHi-lKsVSJBxoNrmi-lNO6ITVgdPfwr9fjAvrnrbt-H-hFzFxm65jnZbh253-Q4_kfS4pEDr2xtAKEbslLTYPFdGvvq0zebtnB8ghyErj3gg-s0giRiaJ3qNtPLNuPbYa4mOlGVWFODRSvvB5XPe9SKes4U2tBlMcBScIEciAq_TN-WT5ZLnxBSxqrnlsO6aKltOxTk8pogOKpkuLCLoZ8INeFb1ymOHNB98uAQ_r5xnexYhXl4oXBN079kWaorrnsXnucoohMmJ2KPb58CpUFB6z1EH2nw2qL__4sV3EFI9Eq2ZiRMttUBPp8dlosdTDQYdxl2gVFZmwYfCWLxUDpg2v3jG-_u1MdZnB7cH3Q3Jlv2UTqe5DsLvDVTGLM0aiUt6FP7e38YaXk6Ec9W4ityZuw&amp;type_route=efficient" TargetMode="External"/><Relationship Id="rId122" Type="http://schemas.openxmlformats.org/officeDocument/2006/relationships/hyperlink" Target="https://qualp.com.br/?data=5UDghOTY75kolJ6njFMDJlqNn4mpoRQSnVc8gNstIYClOr_9VJmZ95ZuppIWGg8sFchlXLKqLHHKaTv6Won20i7it5MJkf_v3EzlLmQHsNSJXjPRfVoBImK8AqxbxuQ2u7PkaB-mqMDcqqRW9ukmyURb2GMMuMGVP62gxEW7jjLUG-8pOXMZVfXUGMPL2NoxfeZlE5rgfnbdIQiBClGJz0NGdPV5JDQB_1hS9AlwD_zWQkUNAHMrglcKhGYg948Rzx-IjzxnS2oeW8CLG48iJ5PMGBZD6voDU553xH4EpJw7rheoHgkp81yg1LKscBs76PZftEHsFIv1rLYnuK0lOVYBDqhNNDgKkEgX30Eg6EDI6h7ENWqcPaju8PJeCJbKGEGzLWdGs7dDOYfY5TMJnPCCbhWS1zml5h2UenU1Y3aL-OtL0g8HqCY829AGN7y2ynPOdSoYVKJQM1-1PSynXYw8g87B7TFUAeRM4oMmOfcriaHQJpCXdMnEt8iaMmVVw9nipT_O-2FkVAzAoThn1bnwqNMloFu8UiE6nWj1VWIrqcSgI7fpId8sgg&amp;type_route=efficient" TargetMode="External"/><Relationship Id="rId143" Type="http://schemas.openxmlformats.org/officeDocument/2006/relationships/hyperlink" Target="https://qualp.com.br/?data=2G3-TKwaNsbDVA6Ak3Uc_cogYOcq1EEJTIuE4CPwQbuHb_KY7EWqoFq3hSU2iqp4dzzN0G21GUjDYEyU3r5_K1B8DC82umw6VBFMJA765j0mZ7jBiXqZQpXDyFI7VEJOuduzqDMejZuvQhc-eWCnBdVhXy2X-ng15z8gxwOmBcsVgF8CqhscrFrixW2XsgBE40VDwsDLEF2EM6ZDbc9El2P9-DlC40CylYyHNPZNlKet6AYJdJeYAcTCcLx9-CawKV9iChlN4iy0gHABuuiCdlb6FUpgejRwfl8KW_AoSvJLzyNNUgcg-Sn4PB_F675LF5fvc-ei0lhlSmo0Vkd7mOFbdGNz8zmLkIdituK98Mh61oDo6POn28JEJRGkw5XpoS-mWzmRvJZRO_MJspzfflhstNqSjeF6U2OTO2I7Z9bK65NaLup62DPahRy3fpxIPyrK2u7UuEjARdacWglpgqm5jIMHe1MYHmAELt9S72LbTygSVDW3BwV6hm4GhtoVw6H48GLsqlnXZEjbLhxa5XbiSpdxa-BWnEkzbWcUCekA&amp;type_route=efficient" TargetMode="External"/><Relationship Id="rId148" Type="http://schemas.openxmlformats.org/officeDocument/2006/relationships/hyperlink" Target="https://qualp.com.br/?data=7ho5XL6jggDtRuGA0wLT4o6-cuxVjW9ELZe5U6UcnTNhUcB-cbAFYM32gcPxkzsIW-i_EAqtrKyEdo8I6EInzEWUXXDR-f3CyC38XMJsterPj858gHZmCZwalNoq5sifz_yCHXDaepD2G63qTMvADgqairqYfLa62HR1zwa2IRaNp01EYUmKUBCmAxyXBfxnAJdCQgCSV_L9e33hSragSbRbdjC8ktnwDOPEvgg0U8jkL5AEexrF_WWjepCn1FoQDvVwtYp3jxMDFUXycqw4JWIO9mAg7ZODJdadCwkcsQzOof1fu0zaJfuO9M9z4qzAbz62xtDOUSnIqWTdcmlvzM8PW95lG-yYXbDLb1HsyPmkklYVboYp-6fwJClAMyQLWlKODai1rO_gjmPlXtdOmhdJpvRsBu8Edekse6xuhFRLLKmtLWRKqSaGttC0t7SCrte8c5FZeI5LRLcVQ8oG5JSdGIvhLSeim8mhuruUda-_ait0F7cOLpDBtJb89e9Ms9LSYokqG8pZ-5O62_tt-Wr728J2kCiht0qJO4MDSbBE&amp;type_route=efficient" TargetMode="External"/><Relationship Id="rId164" Type="http://schemas.openxmlformats.org/officeDocument/2006/relationships/hyperlink" Target="https://qualp.com.br/?data=Kpty0yh9n1qmG344QGPckzN-Myd2ZXQCNZg51jZm1Vnl43EdQ-EHcK-_f67Cd9pnoVqLVjhUX-VYOiV5g1vCCZapJuBzzHd7ORuKhIjsfjQKPCBg30iP66F--AkEtr8OQ7zO0_mazWehkmC65AC6LmM1N-Hs4eGVrMJ7NxXkZsJN_69qX6LdjHlWI2k71ZYPPF1pfIypiTQAxLjjyRM83hEwtSD3mm1HMPrmYxe0Z9lNVyt7O2U0cbSg0dksyD2f8DdymRk1ZkIkJRThmjkDv4y_v2kt_tGI3g5lgzJpUs1kEU6uWC9TH9wW1rR_lLxHhlYYBqoIfVRads5JkzVoYkIzlJEijKFMWn40_89_-bupAx1pM_rCwMn9ChwsgmY1jYBvaPZRh0bJVPi-vIIRWTA-MK8_4lISyesJ1UmHDB-T8tL1GUso4Hose-8dO_r-rlbyKZJcFagAe69WISWaGQphyzpXjfpCDIxClZ4ZJmf5f-dqmpLorPTrxPyEn4qvHSau4PIj7Ra4-gh3s3v53yzj4Mv2ftzUQiopjOONGrD--jq4&amp;type_route=efficient" TargetMode="External"/><Relationship Id="rId169" Type="http://schemas.openxmlformats.org/officeDocument/2006/relationships/hyperlink" Target="https://qualp.com.br/?data=VaiG72-vl4bWveObe4d0FlaQEGMv1Y9fO8Sk9HqxGzi83Y-T3GS_HUh6rRO9hTYv_Q71mzEccR1HKIV_qvLkt6MQJeWZZfOAQ4BWUAtNRovnDLymP32p-OxgD5FIHryA-9IGpwHAiVIG88WhtoKJ4s30zLTo-yt9LthClAXpFsNaO4JnYoZXZe0lm1gzm-vtDZNHsbmPmg7srz1ZMj17wybciU8cL0rdYA09obNMVFPM_d0pqj4W-f7qIEBQmDriKK5ZqktEHcRWFeLKy4_LYK8cLIxIBKSs9nIeCgctN-UCD0DVspbWHPu6ovfwyIty7d6MtM4osdO_PlWa1o1V6zCcqSOaTf8fdrXc9X_kD-hYEU8hOiZ08RadYs4xcsujJ6qhA3CYN6Y1vTqrQDCK_m-Gbw-BFALnobj3GU4lYkhgoG0T1T00bMw60eMNaTBbs1f-YjiYl7IqYpqfB25GgXOzDfoWFrqA1Of2-Eoc_e21a_gJ5FAn-r7xxhzU_3gYlN1_7OUa641XAPb0k15wEgiaD07WFzyecijEA8vnKq0-oJkLwYmnGcquhA&amp;type_route=efficient" TargetMode="External"/><Relationship Id="rId185" Type="http://schemas.openxmlformats.org/officeDocument/2006/relationships/hyperlink" Target="https://qualp.com.br/?data=dUpkg8HLJySdppM1TzGySr05oaYKfm4CiUt-FOt7OjXcArwt1iEhr1KUtYF0FaS4HBt8up2tkcCXLPxbNq6hPA0C9OD6lQ6bzfryP9oIkwJIk9ojpIYP-g7vvKztul7rYxQrx-7SBdLTltDygzLjOjg8bszKbTlxNnkJ4V0BmkqL_Af1X6_IWmPtkfVeOSxy8oauaZkL1OxLP-4baJrjTv28YxcxLc1jctdBCuOCB4K6-5OX6nLnmoug2kQ-u07ywojBwow4jhmSZ8RCVWzIX0QuZc3snSOvH2onMBJVUyG5Qgp4j1LfVktNDgK3gM9jF4BH8LnUvoKgLM-b-cjBWPQ2wNDS8SnTggPnbmFrM7j0nX-ilTXReEuXc6B-H3ESEFbDl4bs3uWFxYH9hLdIkcau-_m8WxMpMHF2hiMlyPpteUWdpz0fbltMlDkSWCRFtxq19QLCmyjtI7lv1MJnSi9WwGBIyTn1xbJ3A_Om2Orb0U6TVjxO48Owg0Z-mhgg3FT3QNvZETAcC9WbERlD3VURdr0RmUIqd1fUCbj8YAXXXZtEx9AJrG8g&amp;type_route=efficient" TargetMode="External"/><Relationship Id="rId4" Type="http://schemas.openxmlformats.org/officeDocument/2006/relationships/hyperlink" Target="https://qualp.com.br/?data=11ieN2t6UVdSuM2ktK0vrnq-EcSc2t2Qsl4vKs0skqtqm5W0UBEvKG1dtx0Uoc67blLr3ZHcsHwVidczxl_vdw03taA4soekLB7IMbp7LVhvL6YMbRWMKiDkSfb8spy948i1kQiOE98FweCDgV2p38nhTBsVWbBFxDRxBgjwxgYp17b25NkulGgUc_TSiWpEA19qDcYNU3G-gP-BsQOuIGqpg0cdGDcJKWjXmkDDakWjRdTA2IMcTEp6H5NxuUxTUfLOIx3uXQNjdnHKBdbZqQBSgAhnzfrV9VIpNTWzmegDbI5D5Na47K9DE7fRu6MgadFKmarM7dJlr2u9zSvGpDFK0uQ5dK3LZvIhQfvHZfs1xa2StBC7XQ5DqHYWfnZm-cyVOpdCvCdU0bDehJsCkxksiQQ28sMlit07yp1kyIgA-MMolnBqUD3pS07zHK3QAkDl0p5VUrf67fxlWXNsXqHgUm-WAyEWNtW_8EuY3Nhv-cO0uy1uUCZ9H8sZD4E-Fk_7OgbYOdGnEamh_ulJuDttUQZhTzUEhhblxjwsJ52t7xlvNXalQMJRuRQ0m83KCaS2Uw&amp;type_route=efficient" TargetMode="External"/><Relationship Id="rId9" Type="http://schemas.openxmlformats.org/officeDocument/2006/relationships/hyperlink" Target="https://qualp.com.br/?data=M8y_iKyhQGopYspbu6ssbYLXGR-0ERqUYSqPGO_rmjlmZGfdDKJ_882SOhzhUJKS7jFaZ7hT-yrtEF3ojaKg6lSTmKz-pMZoWE-dWC23nBpcKgLErQYP6hRrR2EiqgWpAUIaodsz2whZEh8JlfpCm9sUMKoI5M9Wwzv1QnZoVqinwx-4Hy1WOM6yhibowTRlw9vZxm6IkQ7QIyYgmG43GEof823-pFuZoMBBj-m2VVWvQAh0kwsIrEat4vJdm64z5ZQxxVNcy4Wj7VKpRa-dz-0KbrjOhdVMT1QLWDlNttuGUCtqedocDokhaar3cD0BO0r5zsIHd2CW2D9gpSbeIZW_gUQJLykPwamlRjUXxPikRcgdhamZraWQo5su_4ju38lCVqw43cVf8Pqpo6MJgyKbXgjD-v5QRN_iY9mZ3obBINrnmGA3NuNWFA5YaDUNrlhjIGpTWEhCxRoIIB4BIPx4ZkobVuQ55-aB1Udvl9f8hqVI2D63kjRqb4G6XMzWGNBy2bzy_ZH1qbICGc46bnNSFWxf3XgPhSbSrzODJU_Fc15BaKSsdKL4jFhzok-fBOWIRXg9jmnHAQbFouo-&amp;type_route=efficient" TargetMode="External"/><Relationship Id="rId180" Type="http://schemas.openxmlformats.org/officeDocument/2006/relationships/hyperlink" Target="https://qualp.com.br/?data=EqoPDKObJxQNwckH2z89RSwKQopmUStYBJCynKf8bx8gvdHDO-55r0ug5MMdp0iAkQiP7RQr4pxe8eVb9FQa-4fKDruE4V9FS7AgxTom698oMHfKH-FTQpcBy3nNqjcP9B9rXRX0NeJEwxSBb7KSJ22wF8ceAWtg0Dt_Rlb_FxxTbSNm_v-byLHlie-zk-VFE6IkACl5dHdpn4pyCy41YgujThT66hIoSNihgSHrSHO07bCBPRk_kMj5BWTO_2xBgxeUlsg8pFpBU3oDCnxDgIoI-FtFK6XuSSyAAot-yc7IpRDN3gBD-agklXdkqDoefpRTRVQ52AVGPwywVgdNjK_pUbpjqjTSNjqrtpImbYJRuG95BaXp2KTOx2m5jRUh1qBxz827jedVuV_VP4ILzRysn7dpSEwYKffzTkNvnRCos9qdKLJppabp4qiI5o4B-qsNPQE2lCvAuMYULo5TFjorhhsOnXGqOUXTFn_2MLfG7X3x5ZSdEy7xVO8DkK3FiOdJwINFSxwe4y0mFd_btqoY-vQPmWZmzVMdd6WGsHM4AqK4ig&amp;type_route=efficient" TargetMode="External"/><Relationship Id="rId210" Type="http://schemas.openxmlformats.org/officeDocument/2006/relationships/hyperlink" Target="https://qualp.com.br/?data=jb8QeGRiaYNgYLgDBR3PfvwAX0WbwWFJprRLN-4fO7T25MnaQ4jHrU52xYKI8Ss5DXMj07f9_bmUi-lO4bF0ivpL0vEBkY-Vl2s1wgJT0JDvsPqqUs6T8mOCF-vtH6q6hrClCtTZUcNrjkmSXhUXOYb5Grqx6T39Xbj01HBTRpmSeO53YiT0HlQJ-5yW5AA9NlJFfnnM55ooWoH6aFiZ_MjVGjPcRtfwapJ7MAg7SmYJ5JZnAFBtQZZSgL727X4Z0DMaflms1Hl1EUwZfGlh0TllHlCSNAlsNvzH7yCNK4YsTeT3pqipBteu3r2joNyokIt-WR9aUhHB4euFZL1jimZcqKSPK5gDzRU_oFr0XsWPEdQ0Y_72QC_stcdNi-9w-8pbMp48ywUT5hm-tL1nRxTqRje3H33AEceGqTnIkbDUSJp036DjcnWF3VdcMWFj4bHrg7DRxHwtXcmg3at68_jok0BsXTB-C5JuYaj6yCOv6SpJeNiDjNDKOFsWIFslfSCclQZAQkjt2-kTULfzKrWH5Mh-5hhTXXsWBJyQyXmC04Ok7to&amp;type_route=efficient" TargetMode="External"/><Relationship Id="rId215" Type="http://schemas.openxmlformats.org/officeDocument/2006/relationships/hyperlink" Target="https://qualp.com.br/?data=fs97WyPSbUJupmhvilGOepCl3WiWvPpl3GzM1Tp9eO71xkV728QRMDvtXTP0C0P4lOr5_15DorjCvH_Ey2lHe9KQqpQPGnX5oYvVLWf3Ao8yuTdcDAV24-emTav_9C5bXKB8AT5D48lHaSKX2RqXtoUBV-cRDgmxPHN7ZqYEqvSBci3pxGJVR-ZnYhD5CYBgtUf7VUDLqXcKqY00e6a285bforWmJ27W1lcQIZn5jbJJHWOZ5Wmq_s5VJHzF0j5wRqM4kDSSITnq4mFd0cpn-6ndOebZ9hPF1mDpZgxJpheEPvsBwnwa4v-2zft0PXUgO1mtg1Lv8eVCj8DRFGV4nnqI2RXpsim48dZt4c3SuSjdMWTA-WfWZ82qlw5SjP0whKlnk-7OLING5efGPHOCSiC0xo38_edpFOcwnqI3M6utQW2L8mr26IuVNj6XwBZ-cA9EGl17kIK90MpLMP7VcletXAAkdH71QbxhfmneB6Im23DFI0J-7ngMJImYJdxqEIfUE35YTea0JGzTO4yC_zd_bAHQqRpHPlvutZKpL5bBK0uGRw&amp;type_route=efficient" TargetMode="External"/><Relationship Id="rId236" Type="http://schemas.openxmlformats.org/officeDocument/2006/relationships/hyperlink" Target="https://qualp.com.br/?data=xlrNSs2RMZSRZPVSaehHczpwsTOWEDqWHGm8vWMYmE6Vm_wFFPhqCe9PKqxYUnmpMz3BwCaWraF2JgrJgFkRmCmZQXzP4JJ8tbpqAPdQR0eed3fUbVsKNV3eHOnmY9VrDE3k_koHgWWa6yJ0I728aqeFXJwde1NnuU25LnwzwezPL3Unou5UnerOjYf-s2g5JvAm_wU9IkIstJCM6QZNXbyG9uvlgtSy52n_WppEVhy93x9qRA8hAlNkoPrB5vufFbkVEIDwBRxSm2ZTYc0ibYw4cKLV3ShAhnrJPjjOLdcl2Eq2fwt3RTK9SW5zcDXplmrizfqIU1c6B-Xwk9ebneZQXnND56IefWCMDw88qNvgUlwm82mll4WMMTDprbMNQzmKVpAVtd7X9WVTI5TX0vUn-WuYHMKIVG8SLhU_WBvzPNLr4hzEFKfQK9fvlBTqGPZHWfpxjN4TanbjGY4KbS06p7a6eq-UgwdNZsRn_y8Kt9IOARnOqYo2ipXVZ_okznCUbJhHB7C30kj1oZmx9OunlT54PTvy_YPQuc_vKIx3N633OLbApg&amp;type_route=efficient" TargetMode="External"/><Relationship Id="rId26" Type="http://schemas.openxmlformats.org/officeDocument/2006/relationships/hyperlink" Target="https://qualp.com.br/?data=d5ND-LCw8q4OTfEEzj2Ox8OuFW9QNo1HbU-F9RpIhlCdTDnGz5N96quKBkpeL1Elo5OtLM0gVfz8aiKalUIIn9K8mMiLiRU23v9rHCNRekirb9DFxdqA92NEFrH6_Zf6a8xjhpOleg129IiWkFr9CsOE_u6XBuSONiFE-okxdRAv0VJXxUugPUnvkHMIY9CQFsZuHPkXZQ81GpHaeVQ_fli4mrX4WB40be4IMyRPLdtpBDj2mVDd-zIoL8-c_X51YHFHifsC77RBWSZsVdfgWsifVM4KzRRBsmdzBc6lbqAytPUjZ57ldXUjlSRvtRUxG8KWyOJqkiVWLh5mIzMk4jnyJPNXb_0rHuAS4RCxe-NpMYDt-Gx5POyHO12oPNCNoxQLyNtNlOYCAHw7LcWAcDi4dMHi2cDkQGLe1F7fx1EIWbnvaJ60dPMfO8SDlVzTqw2CIyXnTrUEeczb4IUFrocAvWINFTJMyojENARgFo-Js1qtar9wEw1T5tXVd2eSPcIzG2K6YbP2zHoAErzKcaJ2U06nBh_iM-WVdRHNxEgU_ltrieWBgXnh4BooT8HfVQ&amp;type_route=efficient" TargetMode="External"/><Relationship Id="rId231" Type="http://schemas.openxmlformats.org/officeDocument/2006/relationships/hyperlink" Target="https://qualp.com.br/?data=O4ewBu3T__tz5uw1Q4nF1CNvm_iW9gqOppx5F1vVVjGfdgv-pB1ZEZdk1tGADEcD2Sh5xKZqSftB_xzDpqx5xIWFsLG9nGNk3wObHtcdhI_n_vWTXJFhJ6qZPU1UqhxR8wD1ONJ2wQD575rd73SU5NrQdGZXo2rCBe_ksdJZip4254hJkrjpsMLc8V-36X_0qSYChqgpgHISfSqEJ-iT983xoRh4k1cR7_gOtzn0UkXmiRyng-R9u7EJmeWfK6Jf2d54RXgnImzQ8S773tiaUl4qNam8iOA61RePG7jIxpOemCvhFusvFAsut96NdjM4zM59vX2eJriU05PF9KKfvoa-JUsx3w3tGk2KG-07-91ayVPwSa3jmEZih9mynlnlcxloC2b6YHXs2clqFnsUNNdBAxmDxzdY8vsIisLm6hvOog_T-0mqXm6uDmU0OioMNtDdPfdSSL4t5Jh6vsdWB7RPA4js5iItcS1AhE0RR5UVGRurCoeiN5PTTWCszLiHRXEltXk33R6npq9BmLTWY_1n8brVeu4SliAf1kgpBFDS&amp;type_route=efficient" TargetMode="External"/><Relationship Id="rId47" Type="http://schemas.openxmlformats.org/officeDocument/2006/relationships/hyperlink" Target="https://qualp.com.br/?data=17IF7AEBzZsMkS0MlSmWtTI_WZK3wbyjTbVjUYOs3fnmk7Jk5x7W5HKk7OcHRRvE0ieQP1HpztXax75tNQOHmjhk_ErCHW-rM6G-kjW8TTAIX2OkmRTLe2Rv7sleuBrErE6yjIAzz8xZpvq-VBqQkaW06mq3qCwf4FGknJ_3q8gniNLgEcQBiSpZ0NIY2WjeSwflWl0R6Mo75ecqOvZn1-FyFkypkJAaWX6TV_Mj-x8Qb0O69kn7cxJL7bX5rp_dJhDlYil4sJfAA3gGC7BPjSLWquWSbJea5bYW3aG5ucq4ZpuJjkSUWe5Hwxfd1Si2WepPKpM290yBN_fGl5ZQkdkfvGOb9uGEjxeHKhTSo3JrqrrgRjDdjhV6DVlX4sqdniUwobDtogbcU-YvXCe0N7DBQbsbHFMA77wAnqF5LMTsFUnXVyv2LBYovqH-8iEarXIg9oANf83USXD8nyQZM_Yw1ltdJ0vedNsNhLg0uhi9nhKDHXM8tbeQxira1sGS3hhbV1pRlh8XuxJ4cFeZFMFMfjTDfj5AqAtXNjrNrDG-15eWn3wXhw&amp;type_route=efficient" TargetMode="External"/><Relationship Id="rId68" Type="http://schemas.openxmlformats.org/officeDocument/2006/relationships/hyperlink" Target="https://qualp.com.br/?data=Gl_JloaGUdi1FEVI_TVsHkP0GGpuk_dqSQE4IZWOoXnYbKkknvvXv3BZTS0SbNOkLejakL3f8BU7-rRajhvenjL0PIGMGCQSrRj-Rlv_ZR-eepBd9aHl1YCl6lYqUATM-SIo8eT8FdEvqUfZjQhJ5t9ca1m3QHYyVsWj1nqiw3tKL8jsSqx43XClE3yedlr6UMMEnAOMc2MERoUrGargRF1cfvWIuEGV3DM0k7rma-5VvZrNALf88jV8jg4mMWsNDMqpOeyCVqFXOUpvJyDTE1ra8GnogFEMvvYgB4imnF5FQv0x9N4ZLIqbh_u8cujSu6TPDdfSx4V49KeRFl8tgU7by5n0eV5yd9w5DeisJ38DwnR2jIVk2q8jGEWX75tp6yi2yt7v95I2N08UQSMr7NAlfXgTvlONgg7djk9Z_qhOGRHd3OjX3d6koGtgfEsM2dYqtGRQ1iJuOICM4LM-Lr6-SlAhQm5PaP8Wttq4YUt3PvbesDTl1VvhOWiK4jZmd6QOy9O3AspLoUt6JoMf2C4Tez5GfCQEZzhzzeWzfWMoQnBf9NdE&amp;type_route=efficient" TargetMode="External"/><Relationship Id="rId89" Type="http://schemas.openxmlformats.org/officeDocument/2006/relationships/hyperlink" Target="https://qualp.com.br/?data=k8zNHZ0Y-7doWn-hls87rslvEmaySFYHwkNXnQjLLwb8p4zQwzOukerD1bI4qg1pWkH9CV-J8cEGxOefqTziYM1aWJXfshND3hgBx5dNF4ZGcQK-sZv0GT3u6_bWEL8oBs23pUbR0gsnH8Kt5TmNUvulanzxw5dHuQXsP63MTJuV4q8VlO0potRFzAVF4Gn9a2q7Uvev50SQQcbXvHKsVtz-vlIPDCwhk9Ls9WafVXRZUFpJo9WOTpRRAr7y1W9vPew_rlPxjUdgHG4aItZ_RqxYDML96Q0U-OnSAi8zGb2sJtpIkE7aeUZlLypSqdpjvBYx_ha2Ct9oMFD0heLN6VK2m-CniCAkIlspE-fst-WmiwXA5brsbrMWjmBCKHLwRWikBY0ApcuPCakIYlTgIUc4BzphRELSnFLnZLoJUdmaJzf-tq8wAKahJ83Kg46oVVQks8X7xBHYyfi2QPfA0857KxwMthxBdS4dA7gcg1tbJUIv1HVbt2GwbOGPJqb48eNq7daA3yPDAFW9lWrYxcu5xoGq6hMDShi8S_1lXKdwBIaN&amp;type_route=efficient" TargetMode="External"/><Relationship Id="rId112" Type="http://schemas.openxmlformats.org/officeDocument/2006/relationships/hyperlink" Target="https://qualp.com.br/?data=jsM_V2tLErdJN8_Wl0c5CrYtvPAChucdNxp0CexNoRrv-Tgf9BwxQuXFM5D3Qs2C7n0e5BHfKkHIaZQPWgaSSUkm8WzSPXVLZpp_SU6lD7HNJrNlrZFXy1CrsDm4atpX_H_Iu8n6FNm4ioLRSa3_VxbJhcPHxaz9s8a_2XUJtRIH35fPibL1-0M2yINSEkABTxaFlM6rwBc5GMLf2z3MdsFkvXcO_SVdL4UT-mGcSUpk5rulvk33FccgK2s-fzrR8lZHeXrP0lPdxGiCb6FnCPyaMob3TWJCS5Tq3CX8pf5TGaWHo6e3XI1K1YCD_j-uo4RhJ0QTiY56XTmr6lsBni-A-PvwV0wkPBkljGP0N_72v_b-z-iQXxaxSaiTO75gTW-RSuXy9fYTqJY3lmPxzi5QEoBnxO-bcnWMl7GUskcVfvL_rcnqHm9d71MN2blzPv2ZLUxmhjGKLgPBlRD89SnA27h0GrUtjxgGwad_51oXzrHXzr26EW5hq-QWmkIKMepFxxNFnhIskn2ACGx-MxcJZf5CK9Y4N-6Ofc3RqE2LbQ&amp;type_route=efficient" TargetMode="External"/><Relationship Id="rId133" Type="http://schemas.openxmlformats.org/officeDocument/2006/relationships/hyperlink" Target="https://qualp.com.br/?data=_2CSXsGktjksjfCuOErE7zBlA5UG1Mp7k9QHYC3VnZ0bOd3Fp91utYg9WBjs5cW6DJg6cFuOuY6GbXcS2LfZ8qV2ieU78Y1eMZy-BFqjqumLQ4Ed1AjyP3JPdqXXf3o7Jx57GJP-DrQqbh_U0ZIxlcJRJSyYLa4viR4OQn-qRwldY85UaSE8pF_2_nslbYRIu8d_rSUlMRxyl94mTwOcMyV9xXa6eonFstE5_M0ycH-hmv6DZRmxao4F0kSeLt2pnebqbEDWwjl3sJmGJj8M9y7QQbJ4464TxrMq0YQGzoOUBIohqURMk0HvI9Z1ijYqHXwsG_L9m6Ff7DBDkRhPpkQgTLWEFORFAcMMLhiAzRyfHV54wj9Ee_TFpCCtFR9K4fqqtV1cHQbxxorpnLTLG0QJSNRJCIaeGez6jU20jgSaQQ_6AszrCClfSNHfWLzKOSvRVWh7kab8wZOUXiikAJD41TtDtzoVO-EBc9buGc2KTJPGGppxYiJMwb1qgvjHDeeaYCP-rbzxjLKiBsA5BqG0Fm_m_1yIHbn2R2YRmCtpRSE&amp;type_route=efficient" TargetMode="External"/><Relationship Id="rId154" Type="http://schemas.openxmlformats.org/officeDocument/2006/relationships/hyperlink" Target="https://qualp.com.br/?data=RvPV90kcRFT4Rrnc2Y-NtaQRZ9GJS-3-8xOJYBVH_SOzabJ5OEk785xDXnGxT80Vx3GXMPYq9E45RaXO1It8qd5ZTnrvZegMDGhnzXSrD614L4gQuaG8BWbnL7G7Yc8ZUwfj2AO3_zkqHiVEQQegoP-Y9JeWbq3aWa6hZSfUYibOKniMRUO7WcY5fA3vIwPLxXsSFCkQ3l8rJeDTG7aBFkqajVyL5k95IGuJuVAZOJ46DKi5S411pvIS5A3BhqWOkCDcBQMvYqEV0imNgtbFFoaM1d7kzbWhwisNaR9kIYVfTwsjESjhiuuO0G4TQtjZ0SZlRwO7SsuOGssJxtzROcA3ZtBNtQENxwp83oKB221oGdmBhZISb9XxwFJCh1iTxbDNC23ynsEzsWPUNbUPGKigq4asskCOTTrlkamNn2MF_WhHjAvk8V8TcfYPzQ18ZGGWkcmJPZpKMsAbAIsg6syTwLbsUHdHsARk812cjSnImu7lbRUzfF2wtCN5WIvjbw-w6isJlOUu8H5X-MaIwvXVmlGYDfIohQsKNZ_qRFwP3Kg62lSF&amp;type_route=efficient" TargetMode="External"/><Relationship Id="rId175" Type="http://schemas.openxmlformats.org/officeDocument/2006/relationships/hyperlink" Target="https://qualp.com.br/?data=Aca7jHwAX8cHoTAs06j4IQqMbwVnZrpFE9BOjffwGNL4cNAOGJmP8xYW7RwwkCoXJ_yuMZK5bmz4SKiVaSPAA16tQv2OL0opoRXoK9LdUB5RE3oh4rVn-y_pQyBHsSLI7CSnBMxeWKnBsNTsUs6fE0RrzNpaFkLG7Xz73HWuxoy4ELGSauXcxNP385zlgPaveTqt24vSBmZAvVZJNKOZuFP5hAkMwYbJxzkBc_9MnjhOP5tDYDjfEEs7KlkwoYYUid4zHfDja-mJ2znG09K969WFoGR9K_CXf04Va6x6Lmv9FgZHARo1kw9eZoWtnR7nP8_rb-i5nkP3qIzKKeDTPWzg7MfH2tp7ce9cBPGt3E0Qm-SRhN_7iCwS7gftTODKxWyzxQ0C4EWPRW_RP7TJNvHHpfy9t_XedEzfbWUzFeX5-JKRJmcEynN059GebmeMyJ50GJh5NHkuGjHmaoUcSFZuiw0dSSHsvRAuUgdD_SLJJqC0Txd8Rrn56vV0pQgOpkcTFOuQnTMO554ub3kUsGofcm5JrthdBIvKnoFD6gfaig0ngQ&amp;type_route=efficient" TargetMode="External"/><Relationship Id="rId196" Type="http://schemas.openxmlformats.org/officeDocument/2006/relationships/hyperlink" Target="https://qualp.com.br/?data=1tp2xLm9mRIgafVqOrO-NOwojdBPzwrgUCNEjEMEVsMNa0_ug-qo7YhtHm3JBTVgsjZU19xLWznNoj7dHHD9C6v5H76Kh6QkBBuOVurqvpe9HEEasgUOY5dRdj8_Tyiv8DdgB8zz5_Z2SpxIM-hHG2PTnyQcpU0ARBp1Z6z48DrViqdoxnxVItlmTQzbmkbXh5hyVW1B5muzlIFwM9NLb7eZGjqWNiWm35fX8fWW5FS1gCnnv3ojf7Unpat5pNtQOrTzfE4z9AZpTIDOvGnvRvgtCjj1DOxKROqh8EQUclwC7HgPCpCSKeaQpaDgDP9NdgaYdwY_gAi1NOriiXFsOdSFu6lxFzwF_zyiSUlRvZKM6esEp5MVqTLGIMRl-iL1f8xOqyGsijC5Py6lV_EoFdnae8fwVCYwczWCiXBBvK401u3kBdBH5KJdH6fMaE1_EmURygYaKrKjUO2rX9JM6jauqc2mENuI7qx54Hr_I9r5F5zIfJAqhs181UiN8Qyrnv3V7QpwsEq5Bua1ZBBdLg9WgvaYYksr2sNgDD_61y4&amp;type_route=efficient" TargetMode="External"/><Relationship Id="rId200" Type="http://schemas.openxmlformats.org/officeDocument/2006/relationships/hyperlink" Target="https://qualp.com.br/?data=yNA0SPOVABSZwgyrHsQ6PWK2JUgNHFe6DvWao6IknTbNSxavg-qfCTcjlaysPJ5aQVYfg1XQRNd74FABbv23VdZn9lNcBFKVRXGV1FSn1mZuUZDS_lf5njl4qE-lx3lmrqVLqICS-RdY_izXBkAliLvzW24DjU8A4EC-TZshKruJ0bCfWfVCyFBYj1mRQDfEjbPQmJZFL0EqBT-arpZyX22TK5rom887adk8JHgRiA-3KviTQNtmVU5V07GuwN6zdTYq3y-PYCw3grBfx0rLv23q4g0D4DidlIRfslew-YvBgGBEDxU5ntTq4m87r3a2QSUAERlm7OWDPwqQ08cptsN8ayUjAqU1QkOsVpu6vsA2AnF-7CMryYoM_gGDthXuqNl2wdOFgrQTqZ2HON95BanJaxyJUgnhbZaOUrDOGuGkpuhzfEmttAQM3vodeE0xjF_dZeb4FwPyvdrcPUDZ1nsp3xoR32RtGi_jACcABBYvH03LZ0DY5dWFaumcRLu9apod7h1F0JamudzOuq6f6mTXqZaTH49IsS6h4-b65M8K9SU&amp;type_route=efficient" TargetMode="External"/><Relationship Id="rId16" Type="http://schemas.openxmlformats.org/officeDocument/2006/relationships/hyperlink" Target="https://qualp.com.br/?data=UG6Rr3BP5H1RAwUgOftWycD9TcvaMCEZ8V1VpEtl5xDL-_3k6fj9ZtROaczB6tsliIRdw46-A9WxRaVs7wJr34fKKkgfaWWf-aPI9hUera9FkqLFXpVQMPx2dU_pFglj5iz6NB7dsKZWwROjvtM_Wh4VQ38--fp0IPtgBwYyZLkoxwKnmx_BxtZuKdkwAGiSEMKNvGvShDrWU95BHkTex6E3xxLY4pIXvSTC3fu7jnzWfICHcksskHjl7Y9o-WK0ZeAoyJF99gWeiLQu3Ws0FF0vG0u8BWFAYuqmxFBZLsoyA-TuyePea3vI7aQFni1VOuqK_Ng9NmLX48mA_o7XcZ3n56aGoFleAkZbZp9qn2BmIHFkjHYw5HlvzMYz06tO5GdxtjRHm2Dlucl3FTD3vFsNfBmfuUTm1QQVGZQzM556UF0ItjKP9NvW_rR3klW5fQy-PVHzCZMXsPZIyAv3JNlV0uJiUGFok5aPLKwHiCDXkj7EwsFGfJWibdqzZijam1Nmy1dnQi94xGuF7JaUofMqnk9vFdu0r2YaCo-0kgKDEVoBufidZ5mjJ8Zs-O_Gzjo7m4Ow&amp;type_route=efficient" TargetMode="External"/><Relationship Id="rId221" Type="http://schemas.openxmlformats.org/officeDocument/2006/relationships/hyperlink" Target="https://qualp.com.br/?data=gtGfe4jMnXv_g0IfpidwJKRYc4joutxLqvC7-yDN9IjC_ny87bhbR1ecZqA4jK93u987FlUMebgh7qKg_juOB3HO05LdVG3EU0HVE65AtKtlvvQhPb8pOvmEHW6bDhzYVIgIz_PY2sTj0IO0tYZgIqJzMn5-RVFa_bGrw1fxNT8MEeMJB9CeNRncj9xvce4SNhjLl3THIfw4fI0bfEKvHINy9q8rU0quS8IgyvNoToIWQuLAMGxkIftRTph6c1jrrvY8X_jb9VbBFqZoqqrviQJcf_Td2ChMyIN95EvUVLMQAEj5FizoLVKP8xRkZCE6PG8fIZ9hXw5Jye7bQN-3bRX6KnTETpQBKjZWtmtyyBOilZj8Z3P2QAWjYBI4fnMVdtgOjpYPBv7uJrO5xaYvXu1A6ByccmXJIsAMiZV-8u8bY7SGHq54SsWDfXpPjui-BUvmtcqZ2vdfe72vRA0T7qe08mNOD8KdLrgRYlh3PwKvrIzeUOcI-6M-5CIlpziCwZMfFJ1mkrcoRfyczcG2Duv2LxrjDgvbGdos1x_AGxSon_yicAB7BlEfbkl3fi4&amp;type_route=efficient" TargetMode="External"/><Relationship Id="rId37" Type="http://schemas.openxmlformats.org/officeDocument/2006/relationships/hyperlink" Target="https://qualp.com.br/?data=nA8PB9hjQ9BhalWcDWA3QSETSpDXCIPDIXbg2hQo9A3A6hsLW04T5ds1j2XuuugXdWY11Sudsc4ALMaFgaGNF9jEyevp9akiCH899Cwi_TyN8g9fWQnreZfQCTddjn2VWKk_Xlzzfc4T4nj8OL-HmvtKHBAI9Ezq61KP4l1zgr6tz518EAh4DbWziWG0gkna39GgtbU_nOlVXsIAfbY2F8nT-DHgc01F_kEeP1fqHzVvRYuh2r_kH-3FEkUpe8J4S006J8U5ggcNFNOt1wG-00D-Zz6x57oWXJ1U3Ss6XuHOVLb-soF8YDN7hXRH0zFYvBiDZ9CTQipgRBm-PvHfOs7tpjU3ewecn3x2_SipFq7T7F_q_06OMBzZRyN93uFx7qvBdTKTzVoID6OCHAWxzAfLzj8cOc3bX2fSSpITXBvJkhiMu8L82ffpmSp-Xw1FT_G4PDDRTXrhLVZMkQCGf1Eg16-YrHn5y3o1CIV5jyzI80fBPrA2HuocIW1pRNoUgtb03KtKB6iPbcGb-ZroacgCFVV-qmaqBrUhmOWrE3uAR8ddze8gaIqWnMXDWszfiwk9qA&amp;type_route=efficient" TargetMode="External"/><Relationship Id="rId58" Type="http://schemas.openxmlformats.org/officeDocument/2006/relationships/hyperlink" Target="https://qualp.com.br/?data=-UtmheAM9vIbN9OawRmRsVkewM5jekWrx700ZNX7PhnjqZNUBomCDjpuXAq01jlguebeipzXDRPq-xiPMW0D9TFYjWV3DLTcpTUIpm80il6nejmrqBQGvS8icTKfoYMV9PzzHS2VuQGDADZ2qo_AsK70sBcNOtJjhcDmmbsqp6iHega_fyinODS8VIv4kzbnuotAaC3_raxHVO9PJ8unNwZjBkX3hSN8f4BMxA_niROcaqvBmyUewaTlPk5Euuc-6DL6xvvDHilcVyZ1FGGfyWCYMmRvNhxN9ALDEjztldTZd856SlXZZxp3wTp67_B4UA72Tqk_TUrYOPzA95kpONgMW5jWlxqF8oMhfWc6Qx1FYGnyy2tHfgu4gKclCAZbZSyw_r2ub1Wj7BXkz35gTe2ABy8mAghxQdGa39jULZ3HZQKmvVGwupE7iV_CqJ9vcE7LRwICKSoTNxNsWXc_kPk2kdwW-ymt1VmcQWppPe61moO0bUmGsz49vrvxe5OQvxG3gS1r0EYSHOMKjSHuFYMqYL9NCcxirbibqCAndb2rxI5qjE3wdF-kz9ANcQ&amp;type_route=efficient" TargetMode="External"/><Relationship Id="rId79" Type="http://schemas.openxmlformats.org/officeDocument/2006/relationships/hyperlink" Target="https://qualp.com.br/?data=A-8QpKQB7vnlUve57ZFpc2dAUpRm8PnI98L2El7Jo4qacfpf1NDiXqfmwTebDeRgQ7C0dloiM4Hy8sjakyjcF92Ww7_N865aro9GdqWbEPYlXs5FeglaxJK2_vZgtD4-T_o2-s0CYpOfdfhiiQz3uD64ejjvNDKFdCHV9gHpDXJ_z81_9taAYpkgFzCjOC3Tz8kmGyq0ueKK0Rf5XLpGLbHiP1bnXo2i_PLizpBBSLDfpnNhRptHpdufxwZBu16EvAOU-w99u9kXGT7Dw3nFBEYaiIQZJiaj7SJhU6YoEhAtl89H4hm_C9qlgj0cxA4wZ8mII7xn6W4kzy4ijGCGLnUEFXloR0tvf3_nsXfTp3JOAWh2XKqGkxA2-rlYkHJ3dFWDKXVsCWyXc_XULDOWUA_VVjLEVTgiNLcA361q3cacvDb6leNesE7KvYBQmv9btksuM310HXVx6LSi2ZXTln8G6XgpVkbh5h-xzy-xoRLgtL0EFIA35_7_CAGRXVgSGx34HGPp4Qlp1-xqFqwJsPr27A5kRjpWNA12PChOOdz6fx0IMB4f8yg&amp;type_route=efficient" TargetMode="External"/><Relationship Id="rId102" Type="http://schemas.openxmlformats.org/officeDocument/2006/relationships/hyperlink" Target="https://qualp.com.br/?data=c5fQ_MEDB_DDIWHNa32ATdgs1S2IixeGX8_EUUJlaPuFxgujV_bf3_85Rdxnt1v2q1NPf3pV-3aAiCO9-cIsjwnXkPIO0OZ347xz9I9SGFNb3WGoM1ZEVR-hK55gTR-4bDCCzREBUWcnWD73Qzh_iB_KZHxs-__sfvgB8pBNwd2KG4OVZ0GIRcIKCZxJ9IJjKTa6GM04gO42DCgQowh5ilgxbSdJ3OriURLu_W3C2cTGEAtNoc-LXQmVH4xr2dw_jbN6nh_ZUfXG9bLBhEIl7yPpAcvyFunyxFGs7Zrgk7vW0Rkcyprc6McIZIiHLz5sgZETne-zwmoarvwfZOTJq0XYhiWjla3y7vccbEU5z31SxjgPQGiT0J0Q8R3zVpAGQdNED7Mi1uuLWknN02_4efh-vchBFO6oM_9DduL4jj1F7o1u9dsQMPOpFUvIH5Z2RABkIlIZ9R67CIsi9jkVHFBDYITwNjto1gm19lxaCr8YCl7LdF5Icbc_TXsvlN2MHgPP6ljGMKwe5vUxgsE0mHrlkJ7FvImF5fewzTWJhdO6DrV5vpCf9U--5QTjiHA&amp;type_route=efficient" TargetMode="External"/><Relationship Id="rId123" Type="http://schemas.openxmlformats.org/officeDocument/2006/relationships/hyperlink" Target="https://qualp.com.br/?data=jfXuym0muYTWvgwEkrTpWWx3ijO9yht74zrPWYxyffVEFOB5cDUGosKT0e15HKTkkb2LpQbyHLLmcrIPK0qqFSp3PX9Eidiv7HXdv2epQQk8WeSsva1r0h00e6f8vp0AOIIin6iybLw-xxY8rDzosj2UIEbzlMR3ZAeyQYWEGhNFNaFK_ghd1RcjgC8-nVZznkBaypn4i8RwhjImyiBnwqib3YaJiuoY5fByVd6Ufy87VoERmk8GMD56-hfQ2MCsfdBcVcxfK6NtQOtc6eKPNWBNA2Y8wfHnItWB27MQELxwo6dFDQl5Y5OfN35Jbr6cMtIuVEgQgYOMoqUccqKpRDhFgxtDB88D4cchwnV6TtqEMZoDdL1gtBHGWz-FBw7Z0xb3G_ajsfCLoHJ5WzoJ_rGmCQ-9L1bCav47Lau-b4Em4_ANF9H2FnCcEnDe94hM_dyHn2BxumJ8EOtILFiqjDEC8XHIFgmFv8VtfGDEG7uGpNj4Lo2C5jSmoOQOHZ6FvYJgyv1fKDuhZqjYOCThOxwtS8wvpbCkIw0Hee6CcRHZUUHGAE2F5yJkTA&amp;type_route=efficient" TargetMode="External"/><Relationship Id="rId144" Type="http://schemas.openxmlformats.org/officeDocument/2006/relationships/hyperlink" Target="https://qualp.com.br/?data=nD6UFB4PdHSfaCBAez6Tuizeibio9cnaBhLimBt3zcSNiz8V2IDgjk4Jnvh2bbt98BHzIFJJjWYX_1wjmbWT41EEFsm56Uek-UEZL4J0hm1Wa3lbprATIfZXhjxV2qR53w_Sc7vnoJCHBb0Z-2_JUA3MulHe7v5D1FdJE02GqGQEbk2apwP41534guvw-hzDblrYZBKeXi8nYVR7o53tiFrn0D5_oESXvWD6lgBF5a08HCh49-oPIdbFTjtE0_QnhiaKp2YWxO8sg9DPj3UPJa5EFtzCckkZBq4bUU1y8jkHlNQI2Smy1S35TJycCSLAP5oC6hp_W9GCY6GZ0Ikzm6thTOjcZcpk47zhv0Gp4tS7f6-Zyna5c2G5N9fzv3isDsGH6eJUd2srkyoa0APd954CFd7D4zKIwmy6eoXB4a5lTYtWE2MooY6vNkGHzyGmwQ0R0PvuBuGktn1Hv32kBLKlPUpklalQisM4JvtMQGnWMFRO7L_uU9ZOAXe-FANzNLXGfbgZqeHrIh5GUVIOe7UtDqA_89pipOOvLVtf14agErO9Kg&amp;type_route=efficient" TargetMode="External"/><Relationship Id="rId90" Type="http://schemas.openxmlformats.org/officeDocument/2006/relationships/hyperlink" Target="https://qualp.com.br/?data=oRC6pkk8wtQtKfiYzNnc4uwlg33Q2zmU82vgsMrQDpmJoC_NippSD_YJLJkHAsUnT1M8OY7E-EbGmZJmXjNbDrQ6eFyaQBJBgVm15XxJh4LzOhExyrSlfE0Uc6wWH_yJpJKz_1s21IJmixT8OjFAVO820Nyf6ERuOtiQcTV8vxVs2PO9F4hI0eD2V1lEJF2MQlg6rNmWsdrlozhvO-CFYx_aEJfj8AxCQA0I-ZVqk0cRhOfgqpUB7FlPgFAYpeBwcoBuaJvo3scmbEabGbUH7Ugg_vxbcNNPwLPrlQswwIZA_97ywGt1tt2oY9vUxC9GbCNvbM9GSno_toaADM5lDrCWGONNO33dnaaiYLNLvY4qDWUPXVoM7z3nweYjFuvomhfJIFBo0ukdxoscRe3GzNCGql4cAIOBrVfZ4BgsUKdzFa6wnsMHaUSnu4Efvk063XpUSHtOwVMazwly1912xHukYRwdG7CxpgITQEc4oju0kbkHmMFFGeVmvBPDRu5bPISfDOMqqJFQLvs0y7SN7XrmFqOTVRPycA7Zj8TEz7AQ&amp;type_route=efficient" TargetMode="External"/><Relationship Id="rId165" Type="http://schemas.openxmlformats.org/officeDocument/2006/relationships/hyperlink" Target="https://qualp.com.br/?data=VohO_lW2Vs5fDzmOH0_FmOIainNp5GtPLh7vvGkEFr0RnZBwZWzKlXHFAtff3jSuBjXCM_OuL4VuV-MpiKFb9Ik0YqAUitfdG1gXL60--Ml4Ba6wdUUW2fbto8BYUgmQtzmtIObtiebnwzIrO0A_i0ebyQzG6ET-yz6t94d6D1UxcmW7q-Nhv1kRrcYTheXu6jnlvi2LMyboQeTKum2_agslS80-mbrejba31omuhsE9NR1f4PhF2DeiFszh5KHenovgpd8eWIe6sRI7nBZp5V1zFhrHOd6J0oJ0cJsmKoIBg60XdSghK9qgPBRT-m0MZtorwfyRpRup4FYZKcmIKJz9v1HJ5hF5Hfu6YfFBN7UQR0PG9sQeUMeSPj-GPccSx3dC2nDmYRN65eaQRBsWv99fPfefQmmOHQ-eaCskC_GEyXBHQfJtKy9FnqsWMHYmR59NPrg9Z-e23PZEVh1Hu09Png6uSRVgRFnN5qrJLXONzYhhjNFogMy8qA6OgcXcq61ylp5WC3BfSiwLu9vVFE1KXphjTvX-CHYba4_A6jzCmkjeaw&amp;type_route=efficient" TargetMode="External"/><Relationship Id="rId186" Type="http://schemas.openxmlformats.org/officeDocument/2006/relationships/hyperlink" Target="https://qualp.com.br/?data=o7wJk7SN0mmVgUZThmLrnhrVM-zJs0M4pMheRmmXzjuONjfk0y6rr4CkuspiXHeYO8tVvggbRaDYkiz_Aew3TeTW4yuXwmcXXX6RPZIbovy3NRNXxBiyHrz8MoKBcgciT7HTal52ftPIBsMYAKtNS9tY9QaKO4MfCAvYzhxJsPxg_6PLf5kcHXehpqdqtxcIQojz-61Q_RD8jBpCiEaiDTmDWup-uViyHmPZsGzsLrcnz3lW4VwS7B1h9wbJoZXmGbrE1GLGYXJ3-Ru-8HSPCt6wod0oXeRBLmCW2rMdh_bSUHIletA9fLl1A0frDk9fUqgtCOkdOe0nwoarWn5nMVoY6gFtpDaUI8KWUhk5Wt75Yg1ttyL760RqXv6l3J_d62MLv9yZwS4zTYol9UCmLWUSDgeNqNjTjfHmsoOsqlzrVDcfjndNpMu2y7Gwm1iK5PHI_adz2q5oszq9vqhb2QI3SYbcXBJh3TetoXfcBtomdwoRcI-ry6EgZXvfhJ0C4dieQ_EC63JIhA-MYg0_uy_rQWCbbmYZNeiLz7JR9suo-4bp&amp;type_route=efficient" TargetMode="External"/><Relationship Id="rId211" Type="http://schemas.openxmlformats.org/officeDocument/2006/relationships/hyperlink" Target="https://qualp.com.br/?data=HiuOj8orWbxpBZoY6dc3_3WvCFuZOGNQs45owYsSc4OScqhEO9cP5Tx1-aBN8tzYBtlWq-aNBeZjgocvOIvX3lx8dDdOdMXJ1_EPyPdGi9t00TRIb-l_8BRgkgmwgCFDyqrqGzj9rhLX5CSjo5805ApDX_nR7H5oiFR-j-r6m0tfbPFsW47nftlPtiAvd96V2i50o_0SaXek269efs6uR0EnKOA_IvsPhZ4IO444Xt8P5kjkzuzLZ6nmmDaPLDY1h9rJHp1KpXk64u3HNjNkTAWEFFakXdusviRav2FbfjqcjDAwrr8M65vdKOJT48F0kzyKdF5vrw2AQBMVVaqdn2TLUAaXaNdNZZCIQMuDWJdtt8fr4c5lmGTTKyAPs-525O80j4xKHt9pFJG8mdWgPIuSDXYhTFTpt4kGgTFuENIVg3yluygVA96HEGBPJ4E0d6_SdVXc9nMy9_M3oRFpyVedmal_J5UyXl-OMYPBKT3PUFSdQpUmRVJB7ecREPMdSwyt1JLcbUN0pf1RUU29Fia-wA5_8P05VME6ZIv2nbF1n3JJurYiavH19m_uHaZf&amp;type_route=efficient" TargetMode="External"/><Relationship Id="rId232" Type="http://schemas.openxmlformats.org/officeDocument/2006/relationships/hyperlink" Target="https://qualp.com.br/?data=cekxVRZkII-Bu1Ko3cce8-S9LL3zKFU4NbugJ6xv6-lxo2wPJmKZDH2e9YhkmKb06-bW489ksx5ovuOomY7L5jjw5nmuUGi5WOqEdaL9-omoqygGyFsCLRI6cwGumKFAvEow-if0lBzUcDroVH__EA3CZ2Wj0n_Vsz-oFiD22QnUhXZ5Mrfmm6gTngHQnOV4hZymbYu8Q8vQBuq20lFhWmpAk2Sn_R2XOPWZZXEE6KlHUUR7Ew5bCgZpFdUnjXYEbcaQ72vq1S99H25VyiTPUa4GKQqA_UnX8tCG1Mdo4SLu9LnvcxLIYR0aIaEwCOYgeWPtBoVlJHUtJOa-Rgetjubqnh5bftGjpqE3nTvrV7XpWQ6-04kZ2W2D39SA2QJJAXWNcbTdHdX3hb-BlYS8oAzRaDjV6MBB1nQG9AMNCWPlmSbQrS0c04iDiZFcRRVuF2xIJYzcvuSKrBoiwF3MkYKfB5shFAUgszR4Xi_HJvl4YqPIrgLdduSBT5Nwvx4h0TbSSE6WXbLEAC1OpkwOzsGyMl8IrIx9JMQM0Vxmt9RNkQ&amp;type_route=efficient" TargetMode="External"/><Relationship Id="rId27" Type="http://schemas.openxmlformats.org/officeDocument/2006/relationships/hyperlink" Target="https://qualp.com.br/?data=FwZ4TEZiW2dPaUsvXPdefPidDmXgh3gLANgyeLEjbEEl88eDI9uX8tKGjJwB31V6Zxt7ybngegtGM-OOOa8XVKHMDOBECQb7Bxoqm9TcPrRO_6kUSp7uhgoURiRCV5isaGMfigAji4GdiPg82wpqqk2-pd4q4yf-Jd-mv3_L_SCvwtFrTVLXspo_f94I8ZTwxJ2x4V1zl9PXvSOI9XGheCXUo6rUMGPqsceENpr_zJV3UwA_yPsYC0bpWCm2p8FJGkiX3PvsQSB3Rik0zBDtYmp28YuFjTUN49Fnu-xA3IOM75NodIOYejbUouDt2TL5cmB3aHvvkhmhGwXcfRSlU6RGoW_GwPRKGDW9w4Ax7XhNwoDeqDrIcJ0B_hZ10jl2ix7i3qe1_70gze1w_iFrDJcBJAbs2e5_kkWXRbtdNI9WxHKwHaDidE8OwFZHCNNpOItOQvQHQLoZo9rOJ3m-rHUsXNx3chKz4p5ILqitdfFY8hb4zEruJAXMQAs6tma3J11M0jZjeJLiossw1Bm3UaJJWppkQccnre-zOznzlOb90VnBPVc-WGaME5gp7Q&amp;type_route=efficient" TargetMode="External"/><Relationship Id="rId48" Type="http://schemas.openxmlformats.org/officeDocument/2006/relationships/hyperlink" Target="https://qualp.com.br/?data=gomYOJYs7THdO9SVeH9rKsLmP9ehGXwAxuY7mNbX16WeLbAVJMU7-MwPwoHuuhKrp2CT_-JiQlyFLGj5uIQCAcSZxLwb93DERqNWMSdqkTQm7QfXXmo6slanjHX73SeeZEXboaINEcu5MXv5Fc24TsRvNtRFaNDNC7xmtU5cB_nx0y5Z2bqbbz9ekNijnfr5263uNuFYFbd8Xh7mMqacQSrOHFJwdPpt3bZuIE0ievJArhFMwonug4-ZOHJNSO02OsBeRMylhmrqGQvNNixZBlHLFHjE_jlukOduUH510GlKDe7E3YIK2Cr_RtgD1EboqUij1mD_b8MEfrVVd-eLtzT0vl6f-ZrJfa052JztUnH1iUGVHU2aXnOc7sIY6FV55DRTau4lgCSXJ-6vZFUhSTwSePeaB9_UXE-ZD3HuAbnCSrvk1sgF3rLEep5LKpuCIlEDBUfKo1JVYQ49zwtdZ8T3kiFciZymDTpNBqhEG5ymeGQItOtNrvZdNGK4C9JmN4rIAihYbK4zCpHSqdENYr9YSoAlE8Pjhehmf9ZfVmYcVw&amp;type_route=efficient" TargetMode="External"/><Relationship Id="rId69" Type="http://schemas.openxmlformats.org/officeDocument/2006/relationships/hyperlink" Target="https://qualp.com.br/?data=YflrAnDx8q945m_3_aeWhZylYCrrCyjPV6ygjnoysgEcyfZoGGOzqyuKzRPfeORSEPfOLTcxYUwGnHdkAvi3FMSiCFXVr3yDGpNFYzgJJN1p0G6OFduUEGcP8jL3Q-HR5tGff_whxMm7knKXeIc7dQWOPkQwjTt9leohMmb43MPiZVVGu27-xryZTlHRCsCmdOsQ4pJJif7LFdt1lG1oVoc4GQHQcY11Aw639NWrW3YNZw7oXoXoGuwJJkS_PmHKh4nIUwOiZpkoNYsZygiVUjXf-pjJkG-Hd2ipWLeiFRmGVySOErJ22rrBjcJtIpEojCXxsCV6HV-tishQGTnuxhZeWUKHZ6JiYXmdeR8V6-kck0YZDi3Qr9-KUmuEZizajTqtiA78AZDhga1mk7fkuyV6y8hw8ojXfAe8nSYBvLneejt3lfBcyyZT2nbZULp_Qet6MT2VNzf1Muyb3iGXbFVdIeTVMXB0YMHc5Jqde5Y-68NnZ8oQH6qvhsy78tyBRrjuWkvQHEFo3RpLdL0v_jzHyQ3MelljpTnwNwGoZhTrDN9soRx9bNdMNA&amp;type_route=efficient" TargetMode="External"/><Relationship Id="rId113" Type="http://schemas.openxmlformats.org/officeDocument/2006/relationships/hyperlink" Target="https://qualp.com.br/?data=41J3AEwa1OgBtc5NIpYkNqkLodA3iIwVRl2ncsQisklMzqhVVU9d87Rpdq1NY3SaAcJk0QdfvGfgboCRGFpA_eTfaakgzqFVK_1Cih3b8o378hzn3-koHC_itjtNvQ4spp0QwHu63qq4VNaOBptGR3-ivZNhsQ_cMz3K0wTvodF4NcEAE29qEgmzVNY5pGFEuB2TJuUNLWt9Q67GqiZtgE96ZU0nf-P5_plEv-qOhG9wy2TDRwxdv6X6L7ybS2N7qWIdVZBzUmmvdboJyHaXhbulYCgXdkJdSuDYanu12MjH9gKmKmvi22Ykcz_Y1JMEXgFlWl8MNGxJuopm2LlH0FtmxmKHDd1fFMCmrTpCrQeqraiDYIKjBVr6W1PAJObH14QxBB1N77pTvJw06uT6rvZfjrClkHJhS1piS0fipqInRkcnAXZX3kQWBfuQ_Cvac34mGskZ6zmMm9K5oZ9speeGm2jcPCW5K6G_dK9kFIsVjhYGsB_D95R2RxSZKz2JPiFS__-uFQCIeWepvfeQoQVxu8T_1Snrqw5ubkgvnixs&amp;type_route=efficient" TargetMode="External"/><Relationship Id="rId134" Type="http://schemas.openxmlformats.org/officeDocument/2006/relationships/hyperlink" Target="https://qualp.com.br/?data=DtE2gVK4vPzS_nqaKlD_dpSrT0uCD9_eS4xfk8pYK9C3XhHRMiMjD8i6kl7wDW0UyTxM8sM9MsnB0M-IkbJ1cRt6BvycDOir17kPKOaeXu035OzoaahyESJZHT5adc5k8S5KCxlcnQg2Cb4F57s4W2DhGTo_oaIV5R6qshQjYKfvSfR45osa3CNc9HkuWen32MZSV1o1JBz9UicNM2AuDYSsvMmQRKLlOCBddl7RvUdx3hWGJxucN9F_ZwwfmrB_XIjGqIEnXqXrxHKP0EJMjFban5YX3DVf3keS1xPyaWyLJL_7AolVVqbrs5Wa2WK0xewZeyfzIcGjeX-XtBC-HrOdbD2F41QhN1VDF5ICrfoaqDtrJezbLgH58IL_9uKI7vsC8E3UtgkuQSz50sDlHqmBGjHdtQZEW5wjQd03450nxY57Yz08qoWahzgjzDnCx6WodLf4Ql5Hk5XOpX5iMil39RJbNmiI7zZf5uwwAb1FgaOpm60VYyuz5fpouHjKmz_o6FiaEiDujwn76LQTADkuV4I_CcTCvAg9qOtwvLnrRbY&amp;type_route=efficient" TargetMode="External"/><Relationship Id="rId80" Type="http://schemas.openxmlformats.org/officeDocument/2006/relationships/hyperlink" Target="https://qualp.com.br/?data=PV2s5dksfKx5sJWUHpAq104hExqtpQgf8UJZtnMP6OwJXS0MUFVjH2lSlwLuycsccgpVFeD_U2qSJB-xFvOPw3k2kA-UyUfRQCdBSeMfBlOJDRcRUcERiVGZKOBYcd0zAZvGPfK86GpGOZcOPn0Baf7GLi2L37Ecj3J7hbN9YykpuxaOLMtQadS7odPx7OcwI_G-Pebt6NvPl0N0tXOmZbr-rBTl4Zk0JsL3-ZfsPGb6chTtFu7Xnrm3iLLbZ_ld6OWdai7uH31KwlZ8TlNU6HUYhDRCSsgn8UzS7N-vI_xjF1TfOE3l0z02bSBLFI2y_neEleHJe12N5w7c_NzhiJHOSd0BPgtXJp_SNwpDrYL_WU60uWhVDN_dfWGh0bduCuJei50TNiYnCELzP7qCsYzmMr9cxDaKnaQXDX6PfKfsBGU_p-O1OOvTc-T7wRBh3II4o0mPEPBnsl5t7SXcA2DbeTXDzueHBQdAu1GI0fg5Iw-4-o5uT1cdaDv-eJXNAPS-ZTb_xzxL1i9KyPAHl4opreewsx0jWxxKCEUjgHj4&amp;type_route=efficient" TargetMode="External"/><Relationship Id="rId155" Type="http://schemas.openxmlformats.org/officeDocument/2006/relationships/hyperlink" Target="https://qualp.com.br/?data=HphWrXOePARzUNKCRXo5cRriRCJoZ6m9AkVwi-O5A7fWtmf7yuKSsEjZaMcd5nf08kyWocjJTzENWL_GP1tukAutmzb59p_Rp8rYFlUfMGVWq0XI3ijYp2DvB3pgxq4qUDlQ1b2p4SCB9q4fOPbXe5Akt1-D_7IHeiYzr2ieTMraT4Vh5dLDDJvH58xmXLj-vsZ4Fy7JN88OIGiMK-i3vZysxrdaCgr39xX5Ji5PdKmR_ySHPee3_2SoNuM1c4QrGRe6swfiROjtHv6C6Bplh5RGf3fsT4CoJtOVD7n-agP0edta6cTv-1swu01apkMXPi1xbjQ8ldRc1ADNIZrKoVXo2mVf-emnru7n0r_ciWeHlCQHRuhv08nEgf_sDOWLzTeNcfVIU986V44SOSTHCTgzZAq8sdiJiebdaql9B_pI7jW_eSVXNIHFBLYMdPEnrVkR3aFaesN5MEyuUJIwm_HvZC68TQKAyYtM1HWB6AFQYYSykAwVmfkM8ju40CWg0TFUOzPkdLcrSDKLIF4N9k4vqGogLZg2-Xa98d0N13Y&amp;type_route=efficient" TargetMode="External"/><Relationship Id="rId176" Type="http://schemas.openxmlformats.org/officeDocument/2006/relationships/hyperlink" Target="https://qualp.com.br/?data=hnp9r0dW6nYhwZ-SleERKsVRQk4dV12HrKbJouw8xiochxW_BjIcq0gLv0t4fxntuSXscCu9qYzLasfivKcKJm7Dd9oXKQ8QA4Ha6qhJNt0Io4KJDOfpujevCP-WbExB7l2-yfseiGZTfT9JswCkP7G9vJkzDv212Uib9Mp8M7d0VXWwf7Ro99_X936bUMEc5Yh8vcmPWei6AzrARpO2FJ8hkqkcC-XVPj_adf6F6ksEGFGarxysh9cWKOMY3T9qJpf0Efc-Cui-kbqpid6uoDANyJk1I23oWw5FeCa4O1bthpTxDuvxPkASH_KScWZO4AO7Jh86qmNLUNl-dtZ7pz7cpXqLovO8spOyC0_sdBAuNPJfQdCuAbLr1yWq7RfKUKqSlMlesnecwujQhSmRe3wIkIAPeMrAYvFp9u0mU37Up3h6EzXJswA65_CEXx394zmTwu5ItO6zxh7-QMyvlij7zkY7B19QuwOXrtKKEk3TYx97Jqt1qa2p-fv0sD8wAwBJenL0x0AJJhyTAJF5tlc_M_k4NZf7lWtasZqg2B3Y__kN26FjipNlBEUvrCw&amp;type_route=efficient" TargetMode="External"/><Relationship Id="rId197" Type="http://schemas.openxmlformats.org/officeDocument/2006/relationships/hyperlink" Target="https://qualp.com.br/?data=UC7-7-FUjICYcAjSmVvQpWa9V9bTyLY-PyiirCSCPWJtLXa2LphGEYjQRuWvwEXJ20M06iG4dDGsKMTXLC6GkXOzuqw-uKWP1r4xL6zNMQHxaX4qpdv_eDEIkGgpHFliCpFMkZEY9RWwxVnIBsbH7Xc5kRm2NxXI8d8BDwgSFAbqgHCyH0X7Y6xhlDgybJdVH6f9V7Whn2ix2cbZXyeN589CV8Jc0dgFw8gCzF3gUQL1XxAGVGUDNyMY1erYyT_XxgmJgTxCTw0uwFz8XBMiFynSxP2lluZtKzSgVRz-QHl649ewtExPP5I3gHY24kM7_6ZXJmA4sdgS2KWUgECv3F_dCLV5HJVYL1OttdAtZbi_G4PxxGtAG_ZYT7I1tNIj4RSSSJn45tUCrIBBsdJ46hvAjuXRmwUgWjRAAP9ya-MOoup5gQrcg4nU1lpHt7exJ7ZNnXxCAZ2ddbVDS3O-aH17Eubi_w1iV26fghsWM0qnIUR8wM0IWOb7vrBzsdsxLJk50v_lceVWXw0BcuHXpf0Qos51Wn1MT5gVc9wHAyxE2w&amp;type_route=efficient" TargetMode="External"/><Relationship Id="rId201" Type="http://schemas.openxmlformats.org/officeDocument/2006/relationships/hyperlink" Target="https://qualp.com.br/?data=h0tsQ2OVhd6RUnxtvSC36WNlVmtweL9t8TU80u0bmWgiunkK7Mqh7ayxs7nChcgytmqMlmBN3WarO5eCqng48mfrA3PpiTVuasIiQyeOeXyCl6Uzxt9Mj1GLlA7azTFcOi5piJxfLQICptX4XV6yXIRpkS-FVCvoEIibRm7aRCvIWtQd2lkYxrumFADjefy9VcQ76IigjqjR69lbPFco3KVoa8TqPBMz__fZhxtpuQ5Q7sLagreImPlOUKW0RbEcspXKARvWdmdbhLmJRqptQB5rA-yjM_z5ak70ddRUIQSs-aREFMyV5iE590qnoetTVYCD8i5SzScxO0feRIDajuQQ23JUOj8tMSTL8o0Jb26f0y5r84Dy3LBwJLMdbVs_N9_jlAxEj-qcj78ArBnfO55tpK4r2-zFl9qVrP605tor1SQmUT7spzuGY9MqdaeDBDkZfOs_J4nen6o5nfAeoqBBFotzE6SgAq3KOxu20vDJVIVivDMeGA_RsUUokmkx0nTr0sz-iEGnlF5WbDMkufdBM5vrt_FDRioAaNTtCfwUkplFJg&amp;type_route=efficient" TargetMode="External"/><Relationship Id="rId222" Type="http://schemas.openxmlformats.org/officeDocument/2006/relationships/hyperlink" Target="https://qualp.com.br/?data=hFh41siauM64yRNg0aJjuJ8Vq_wVLqQeu3497hj5V4PAky-UiA-De8Rw3_QH73Dvk--6d5ZTmfrgmuYzr1xoeD3wPiG0QH-GlZuiy0nigEJNSSUUZU34F5wW70gGtIY_oPsFQ9LuUgiCE4GlEdlehbO_MXb-KmCC-pTxQZz19YmL5hX6roxQH0MsRDMDNL42X7nve90fvuZqRMRcZXhRvcflme9re7KJ0l9W0df-mmVxDdxK0feIlfIX8UnkRqBiLSD_Oid3Dg7k4KZI7Yv79geFOiF2QyrdtxyN-6Tv18Kv5pyd2ZWA2UzYCiNw-Yr9imXSYsGI-S19B6kBvabOjc5FXMifIJEC3KgoB4icDbUvyldBFdjPftAP3holS7XDfk2VbD02Ea-WKLROBwUUfRlqyd9ga6SydlV3CenE-CVgaQXkewH-zGSKdPDW_QyIumQxxqrD0cUTsaE0-9Bt7MuTuVY36EQkqhOHPsvhNuXXp4s4axH0uwqMootkskuiUFT1qUnxkkXgdbmijUiBmeY_f7gt4ENP3Gx6Ge2MsH2A1A90AUWu_r-EXGQyHNWg&amp;type_route=efficient" TargetMode="External"/><Relationship Id="rId17" Type="http://schemas.openxmlformats.org/officeDocument/2006/relationships/hyperlink" Target="https://qualp.com.br/?data=Hy2i2Q90V3W0B2AMuMVascQ9iy4fxJWcRBBEzVR9rZc3o7bU-O78b3LlZzU2NTYJMmyFJH29tAtGXow3SzMfRb_U0PieOv3vaix5qeU1zVpzAIbCQFQ2Ob2SmM4rtVnV3givwfhornkM4WZsK-5mK32cOCcmAFcOjTkp3DSzh7L68uiDH3zni_f2D_SJV9Hr4iBg-oRU-7m50fvyAtBMqtPJavx0yWWd3xVXEG1ptNkqU7_NB-dQwbtvFua_J_jDBr5yeb_-4-G6ya65MpINuNlJ3eG0g1cqvfeqHZgcUCQpIgp3yid1fU0ubVULL48nNb6CTAH9VFG1HWq8Cb_DvJ_oqEgTHKPEtIJ1VFsfVATRLo8nkGHz3zc8L-HrArkMlgfCoDVRNeiMZJNvJ6SZi_FM7TI-k16UM3aHrzAiqCcylu0R4KXVM_q5Jmw_UgsGnRs3uEXM6HIZN7sQQztahvCpROLN498pnxbIyrg3VNqIYXWqmkvd4aeiHFNsHdSmrlv73dvEOwxMHkm1ryyjR208e5uYCta5042rFuZG3lhx7urImPKQpWORo1Dxjh-aIbA&amp;type_route=efficient" TargetMode="External"/><Relationship Id="rId38" Type="http://schemas.openxmlformats.org/officeDocument/2006/relationships/hyperlink" Target="https://qualp.com.br/?data=ZMFI6Z46D9vBFjpKZB8Opcr-mNFPJgl66ECdAyqt6Hnl7SHfGzjjcjY9nSFfIBttKgG1UBWG_J69Z5ZUra2JoQiXInidQvDOgUq20h21IemQqMTNK2qhsMrlwGJO-BNlZ8A6JfOi-UcEUs0AyrSMlplFOgtqGFtoGDtXM254w_2dwIsUWh85wv_BL81n8Q2Vt-Bv8DzLMzUwmg65Ps698tuS-yzMqMidUlgSp5km2JnrBmbIRiouyhqwA5OoT_D_xJkXmVDYFTCm1BZsGjRv9JkikaW6yOqLdm9BtiuctDjriUVYtVRGOcuuOcNHPs-G0XBP-_OzXDOyoX9HWm8nR-g9ZzbzMX4Aj3WSGm4BtxJrG9yKjnyKz4WtJ5AULtUQ3TDuULe9wODVNE6IEMerF86PcqlfzC8i7YSkxPWxp-9nCBxEsgM6AY5T57Fn08p8HzUyhLkdQBeBmdymOCXGh2EMZTh4m3WSeUTdAmgfBA7GTl3FvzhAdSJNNpAMkKAP7RKGkfCr8jkf9h7Q0AKv4YoSggUVqzXVOkbVwhkDz0g2LR4197cvxoP6LCXVrshSOZwYhoyPzP5jJYDAs2RU&amp;type_route=efficient" TargetMode="External"/><Relationship Id="rId59" Type="http://schemas.openxmlformats.org/officeDocument/2006/relationships/hyperlink" Target="https://qualp.com.br/?data=x-0qxusN2RDZr25rBIyc8Df7obFoLxa70GNZsgiojPrMeBrTVrvPEorCYv-FcO2a_tGRbvu1zc8VIK77o9yCYWN3Eg1S4COvVJDtEcUVR5J53w613hhbKmilfveqrwpbj52f66FsUYpGl3ompteRmrvpRkakSZg_WIiFurscD3MVidj7JhVjsbEPHLKIB9ni17vsm-Pngw3VAMMhahTbpbNcrVMqztavyiyllSdNNoBoW3EXcBHzuvldqNRBfVDFCUn8Wt_4ZFyJaK2HzYMMp5zeoQxSaRhfoPtmDUwU0uWOzv9OYYMEX_K2eRlxmUEH4Xh_F3DQXAICBHRV8yafmy8CZRFoWpJekNpp5el5sCruUpipRuRBgctnRgDx0tSqLdWKMnxMJpyKM7f17St-6-34PYWX20jjAfYj0bqzbjH7AaE-QSLOzvW8aSEEYxwXAIDL84gL78vD2zt25QOGJ6KYF-QZ2op8-AfehR70n_IsrbQ2PfGS2e-Emzsb8JTXDXvCZoEyAA25x4H2F6qn_3FLBU8n9pG7RhxpdNihiuF1of3Ax2_ilj7s&amp;type_route=efficient" TargetMode="External"/><Relationship Id="rId103" Type="http://schemas.openxmlformats.org/officeDocument/2006/relationships/hyperlink" Target="https://qualp.com.br/?data=OlF8czQbZGB-M0nBz4wXbt9aDug7WVEJNiYb79Bp7P1Ypvr5_cBsei9ZciB4GzLDFwejbqz9pdgfuS1yFptfMxt1RCmzjy9F3pJsfI7K9NFg7GbHRy9AuiefK0iiEeyWZG0JP21meW4FkbNDyFriGWCN93OHGLUsO3ld86lPCCfJoeWigqmj4QZyijMv-4LggM3z-lPkeSK_GkRIV-UfIHE_XqsguMc76O4wvX6kCa8Dok15xr1ySj1q4FzwxuMvKvBKsqQs7RMeX8qWNuSjC9tg0b8AsspGM_xf3vw_2gvoteG56EjxxNkjB5x7a3ScAOXYEbghvbdMKIvUs_3R_t94nQyWrPnxhY5lBLnTujphe85Z2utoczcfiAWJfI4nfAc9zG8QKOHUsXMC8bcspOC-Tkz18Acir9AIQEeg7sADSjYOl8ameACJy-J8nlNlUcfwV4n8enkUjmis2265TY0xR_XC-AcSTEerERbVqxZ09dID4Zgm6k6DkF4Htjfr2n5kZpIODmrtCqfaHMKPVgtuKfmN9kQrkAQsY0XVhwr0&amp;type_route=efficient" TargetMode="External"/><Relationship Id="rId124" Type="http://schemas.openxmlformats.org/officeDocument/2006/relationships/hyperlink" Target="https://qualp.com.br/?data=NQqx28MMGPeck8qj8OEQ37rzvTwJoC76z8X-5kR0NPDdttqbuBhtrO63MoKMXaqpbgGpeSwmWpR5-z2S5PIsfsXHUczT1OMhgWQqEGE2WdQi8fLkn0Ff-sSxnGQZrBUbm01nSIJCskJLxX2vgHxVUBcmKslPRwPMc6jPs7aAJN-ubjaGGCIGh5NCH3ap-kOJg2dV7RadrRZkyTrbzzfoPRsh545qy-oGDgD9RgX-V8CjY7LBZQtCTPVYEzGMIcfy8BjfcFhvdAXXmZzc_tDGQlljGR0i3YI7Koa1pq3_Blpo2VykrOFG8fyZHxzNs3irwaVdfbE1fXVIGWojMGw3wtwxAMbgUo7nvhuihCmUgpfpn5nUmWEbvk5ONWhF2z4MHEULgfxEMzA3FsSBWWe-q6wX-IIO7xaDV4ZnjCNTfc9VhgYd14wakrzZZ-vCLwZQ2dFdPJJgOBbvJABVQ0TJvVHWmMtLSqax2tHxJbyQJBcFLTIitGVJAs14n2v8KmV8rRywvjERQjUH3WusuZFnGNmjVUCIuwRHE3bOpbT3dt4FoQ&amp;type_route=efficient" TargetMode="External"/><Relationship Id="rId70" Type="http://schemas.openxmlformats.org/officeDocument/2006/relationships/hyperlink" Target="https://qualp.com.br/?data=G6znvSEQAtonX3th8r-q7tzj9pVsAvQA82EQPKzh7hsFUNHs7DXbg4wZtqyXTjgq8EMKbbUEKbkRlnu4jzCWHjRDf0sx2XpWsiPtJR7cA59vJbLJ-8lpDKc6wThDShXe7gN3FHHbP8iPBuGjrh9xC0c4IF5NwTyjJnWvJRV6I3BhbJ_lyoiYgAlVXaI856nHRo3VELv-fw4lxiMglnCsybq936JqREi1ON0NfH97QR8HllI9z0jKSU_Y3rcS62p6prGfB_g3YbIXL24n2QILtTFvwDf95FJUs3o1XlmdeE6yNtK8TjxwnK8MRKBwg8SSmRMbakaqH3dsN-UCQQrwMfQ1sspBkNnLmFhbMjydqx7OYX5HgRmmIppwcxkBqcbnSSOmSwyT1IEwRGVGKTFuIXgpD4RU1FAnmnZoUvxgTNY2YLYbHC_PPBEVVYuGfvLNV51PMSUxWcRqVyRViGLEiG9pFztv5dr_Gs4_K_TG76Sy-2193rs9C27CZXiV-nt6cGH6_JL5E14EWvPAaXTAogi2zhHBXu3mHlvxdQK4ii2OOAwoPqIi&amp;type_route=efficient" TargetMode="External"/><Relationship Id="rId91" Type="http://schemas.openxmlformats.org/officeDocument/2006/relationships/hyperlink" Target="https://qualp.com.br/?data=7f_oOPdg6Vj30gNVj_luCQjMyXU5cMR8kInG7Kys0BDfPJKtQ42nN4uA1kfmmaNjtUxorCSOma6lUzs1uVqkuCKUtwBE7ynCtMySJaBphLw0i38plV9f2Ztm_5k6e58MLg3sBGw-SjGcVtQoFpXbACMqgCmeyrz6NSUd6TUmttqxmxDQbgT2pZ4jxf1-syAFGRIuwkfCWXjHQv8hvkW0QiqCAE6iYLNVXk3pFULYGOEMVjje2yKfevVmRqwyIVqZBPEhYftNN2hYykXc4E-uaIvF-z_Gmlz4rxPAFk--U9OdIZsKDTrryPM4U_Em6jmPZETCfUnF_5vB-JJgooRkHd99smME2gpXlNGuz3sOS_PT_6ACK1VmzEn1LSWEJolZITQ8zWT8SzYTdBf7BfKZYxAoj53fB1fGmgQwYZqMmnd5cTH0cM7ZUxSDoHil7slqNQXndhZIK6NqZM54oPjQYSUA7VeQ9D6Q9DwJUYQ9OG7hLs7OkoZ4nYF8LDpTmnyi010sJKd0Ewnv4TeH896M8xvq1jPVfJy-K8kdvGUn63zyywPGuA8H&amp;type_route=efficient" TargetMode="External"/><Relationship Id="rId145" Type="http://schemas.openxmlformats.org/officeDocument/2006/relationships/hyperlink" Target="https://qualp.com.br/?data=4Nte4rUCuJAk4RFHwgxdnvFhvnKvuh9O-2aX_7Ttv5dkGxx220iJTYiEhaOwlbQkr3Yy938L6_3OMARtRGC4jAZnBGI0Q4JD731L6aO68-TpgEVSElZkqW5NdioBF8CQcFuzh-h0xyFfR7bJZ69dtiPSyuxEQLSJie81ySXpUnC1T89eM9_73ZfB6nFL1gA7iD_emj-n_KiHAYAafURt_qsDpObM_c3qLykOFhln0kxRMqPSkZd2iRbnJ88hqKjroYv4tWJGqXNRnUTYaTByt7nTdnQeF4kzHgA8xxo4GlBib8rLksfC8HKYu8_3pCKEVVaWzsUClAxiiEuLGq80Q5M8pTN1Rwe_S6hcUGPLbLFd90xAs-zvHxqO1iugxfN-D-irf6A4U65RIuJTgPW1MJ2tUhFODEnSwd0A-Xc2cZL5AUR6s4PvjT7WkWQ24827PqM_HmloguAEDu5KYDbeInNf1kdJ5NJtBVgAtBtrCKKMcB2Z350gmc4MTx-Q5Cfv6rZy7KEOO2RLNqqdiCc--MkIOeb3R3sokph7qWufnlQbwZs_6Q&amp;type_route=efficient" TargetMode="External"/><Relationship Id="rId166" Type="http://schemas.openxmlformats.org/officeDocument/2006/relationships/hyperlink" Target="https://qualp.com.br/?data=8X-4pRvnaoYZ4WHfyhFURtWoPEBedT80srMkcZF4m2BU8zA87CAgn_hwoMxU_vhc3Dyn8gQrsl9doQlc1oSAriMWIgwm08kAdgUK0JVSBRk_dC0FFwqEWf7QOEROFwnkluHHCVS3lNSMoRyFUI86xdQkaMKWnS9ozEjWsF052sauUXsexZhmnRvNiFTl7G1qqPj49XZ47Y2nFFkj2yg0wPqiZvGw7QwW2VNmy7FQ123m9XL77-2q8AQYIhuX1ba1k-QT3g0Iv6f96Pp2pBpi7hh-XUaNCH6Zn3uzLTDb1758hokt0s3qbrlKWfzVnBT0jeRcv3X9bkIo0S-Z8KDSvBF2MGs_oagWmyQj6OQQf79FgrX0dI00e9GPRn2NOqScV3VM8qt3Gm_hN7dkkoIx60D5iMCUGVHSrisV2x0B1rg6lIk4I1NS-uRXSyBz5IcjLaSNgTrmSEESzhCmLif7Fcmv5jwYoKcA6ecNEuibOVF8JWzjuVZTzcq3m1eIrqh5kfa8tlwg64rqLmNtRGE2zvNDHaqL68l7SHKrT9SfbR245oY&amp;type_route=efficient" TargetMode="External"/><Relationship Id="rId187" Type="http://schemas.openxmlformats.org/officeDocument/2006/relationships/hyperlink" Target="https://qualp.com.br/?data=ekVBOArnYl-6hBtuFYUr5eWMGy-PwKhbiI2GIhHc9vrdYTMkeDfehYLyex0AW_bk_hxWjMpuchE2imts8y_ujcuIrKyL9kI-5iffzOXsIx6787gbh_FRjDalAVIY4oDVpu3Dn98jdpcVEKs_zs3QBZhDIexT2b8o576Vt8GZQfdEqznS5qOFiTRoRVKRwyXIHe18_UyHAnGCVLksXUkgVVfO4xDI9OxeZRZB5oNAH62DQoGo62DSBNsA1rYp0zoZ2xZNSUrq0nwdmYsAsEyQRy1r-s0guG_eiPLvkbz4YpJopg_hcv8XFtagXl4Un-c17f7qSC5jSLuUGzNABZ2ejDfsTSlynjP4gQp4mtx6YkKx7lV2YCsnzOfvfMNxdVE2jSpLpO-RygjJro4uJV8kQW0lkw1RXy2PRFkH5luP6AWA6gBuIDGjQeqD8HSku5XTsIlbb5FqBZCz88r3oISMTq6qFt82R4UImWDoknHabyg8HhNOM2YX1nWzzkyUrFWMaZcyIK4XCeD7COoQu4SVauClsRQItx7fKdU6220C2-URa4A&amp;type_route=efficient" TargetMode="External"/><Relationship Id="rId1" Type="http://schemas.openxmlformats.org/officeDocument/2006/relationships/hyperlink" Target="https://qualp.com.br/?data=XkZenxyw8jRwM22-_Y_3Zm5T4kKeNyvQ1M06Bdpemv7P_icMbw7yRxpllMcc5g_0eSbjrIEDpcTuRyshqisHOVH6INLKNy89-geTatCh3IG_pk4yzpCC3QhdLJw7Ctkysr7uaOzdVfIa66KnQY6_dmOCEK96yRGE3_OB1aLBaXqWr3603JlNXJ7wdcvbemxhoSNu9ycr_8TdhSAvEhe8faKhMMlrmD7CveDnjRfsaExQLnM9e4QdmTzCxh2CRIJKIs6QSxo3SnEiBiS17PlLWhanYmUwDVGy7f6b8QdlDZ85ziDU3WYHtO3LtYkOzGFOAQ-HKXgetREczz3Xe0_zRGBTLXMkFOEYWh0DSkkRm_cSdbizMAJA2oKXp8BQLGdzFnMIT8AkjaeYhLMfrv5fL0HQmZzwrXClH2Ho_gR8GUT_YutKGSE5MJObFKzVw0yvGFd6hl2WAjEOyG9xip1qPuhgxOi0cYPQUqfMm7LorM3ecIjCKgsUjRwuv_yf3uPUgC9e_RVJAYqVEyWJ2DZKN2FGpDhUwkuGm91vg8KqW0aocK6XnsddsKSaIcGlBiPn&amp;type_route=efficient" TargetMode="External"/><Relationship Id="rId212" Type="http://schemas.openxmlformats.org/officeDocument/2006/relationships/hyperlink" Target="https://qualp.com.br/?data=ul7Su8LeoZj9Dkt_rnJeWjqeKSG6cvU3v4LoSBl35gTPr2P_XCR6aXZORmexEEXweReSGpMzaFrSZpj1h9WQRzU59S_gPd2iJ90BNPsVSE8QbMalpn83H_uihD7-cOANM9K-3EueRAMO95sQAQTNGFDoDpvYgYWW7OQKrpC5BnxwWejL944Sg4v33qtF8pMlgEVz6CqblZs9GCjLmgt7UeIgSlNqJTh32A3dLA0vDiAl7jBWBmWOI7YbNCthwTn0YSichIURdsliQuUVLzhDQO1_HQ-hOaUcppS36Aml0T7HBSILWIdyD0mXbKxKCHcyGjgDcxp2ScfHrCqEwaTMM67KR1NpCB5eWQsOuOk2SE_AXLRijwIN8EuRPv8R5mWUMdqcnsFJyz7fJvPxb0wqAfrsJEARBcsxVEKOoy30gkoE2T3KzYmCJj97KG6oBD5Eb-YEohhgRmbi8KuQXz_m6YpIm7-MBDxXDHYMDKuZmhEM0FYUpunN0g1ClR4WsiDINHaigD4TasrNnNIFj2pTKBQ8N0C6z7TYAImImF63bBuPJg&amp;type_route=efficient" TargetMode="External"/><Relationship Id="rId233" Type="http://schemas.openxmlformats.org/officeDocument/2006/relationships/hyperlink" Target="https://qualp.com.br/?data=pim2qvVvt4jbnddpo4QHCEQpFIbbOFUtChPsWKlzqqGHestm5xjj7UuKHzclic1b9UAtp2OIhEwlIfOyQG2lzT6woS4ZFhZbntsoMvTQ6WsAaEDyuWlJe7rugJT-1NMKpqb3hGr8j8igjTzlJ3I6AS-FPH9qQ9eG-ZtdgpcJEX4ssMueYpP96iWq6Zkrt5rvqIncAlILrRAvVTxXadaD9h8oNybnacFJWNXofoIqSt_fpcfvEG85_WedrR5ln_mFWWZNMjUedhegSBHYFaQQGLX28BT1RCNXXkkLo7b5F8rNQAu-siFSAHe3_cIj-KBQceLb0xFIMCZaJAz0cU-HYzGThFkxoC9plwUMsvd0Evfx7GK0-xJgQIjheRY1iFMYv66la81aneos4iAvyavH0gJfeBrE9RkAXdct4rD5ieXV7onwnbof2cCbkqd46CZuKf0ieS5wvHrE_r6fwXdeGTLnkmM6F1ZkqVDskBjD5BaPZF4c0SBvdxwUyPW2GU31d-3tlJlJLg-BRcY-ZLUR8mA8_a-5kHzGkvRvbU9vCrKAe33OUlEhmg&amp;type_route=efficient" TargetMode="External"/><Relationship Id="rId28" Type="http://schemas.openxmlformats.org/officeDocument/2006/relationships/hyperlink" Target="https://qualp.com.br/?data=sNXm_oXXLwaIzJLq0FcsH-xaNbGw4G1H_QysWxgig2pTPO33RpYobY7xtJXNzpbYYmx_87GAGDQ1FIByz8zti65bVh9AE8jzZ3gCseQ4wWNGKevyb4HqTykJ3IPeb2Be-pvENkxKXP1v4i4rTyOy02J7drRHswiwn4ucD1ai38Y5eOfAfvcX4TpmPyZfRaA-in2NEqncdqhaGcSMZkHjmvWv7bbJix9bx4kSF6AqTCMN1m26k7vL5-nY4sg5Hc7E3HEf-SRy_v78l2UwOoYwLQ0kUIKA-1zU9nhwPc7L7twJ9YuhglrU5MF8CsSWYGafnjZStXYiNEnqM6gsA0S5k6Oo0f1s4jnhl9TKrZvtYPri8J_VOllH5cRC7oVXasxJNTQ5UWY9e7EbMfztpDi7CPANpYA9yR9qxH38Icj99ZSiuRt6HC2V6Mdwhe27UtXBFy9l3oJkkraFT8YIHRMl0pTyvwHEvIhQxfih8ReCFMek1Gl96TieHZMv9S1drYZQayxj6GgfFYgcpxet8HxcJWpQtGbLOxPKKnpgGVA7IRKG20fJaKHcX14p2Q0QnWfVvg-A&amp;type_route=efficient" TargetMode="External"/><Relationship Id="rId49" Type="http://schemas.openxmlformats.org/officeDocument/2006/relationships/hyperlink" Target="https://qualp.com.br/?data=Qr00wTYKDnXfff2Ko8F6EA7ozqt4fSdBzhFV-aAiPKb7uBEmVu4Txw5ZIAbN3PDlAqpu-z-3Xsqr3uHxB-8pHNPKnihYxfXoTBwUjVPXuK2wgOs0Wr2NsJjXgamfug07AkbIHq59V41iJe7ksyUqpy3xeYAgfKWndBGPCPi60b6Dp0p1659KSFTbcjwmjwaEsqygrdDTLSbvnILNLd6uAnwR38pC9-_ZuZYKZZ89-8K2urRAFocOaV8plW-Bg2CUKX4lfv55lXEK5Jy4IXdXVax1u_rd9L2E8UXtJi9UUsWsVm4tRBJiXbkDndsjf-vL1fKvbUcjqJqXPpDICXv3SdYqKvH8fObLXumwGI6V_2F_oV1NULq7neF5I8nLzouomt47yIuJIHHOlS7_uhNPUSX0x_3wx8DBgHiIw0is3Ck97wOk0bxKoWJmVdzN0osWAyOKRP3zpJOjRWC8uA0EhItSeawSlBJJxsymLQZJXkJ61JIGRYhTbNe3ixTL8Ky_NdpVlZ63irX4iHJCo-C2wf1FmeNZHfHPXEe4-DNdjUgzTgk&amp;type_route=efficient" TargetMode="External"/><Relationship Id="rId114" Type="http://schemas.openxmlformats.org/officeDocument/2006/relationships/hyperlink" Target="https://qualp.com.br/?data=x6drZQ-Zzx2tLkfk0POFjBoVAghk2a2e67PC8Np5bU-_EWruvsidgz5cPzyJoJoKjlKvqXvjKptlZSUiv8ECKxjM1VffqJ4eqwVQ_qkRQksxl6zahhjHBMrHShSWHZzcQo5dE4Ed9uZuEQDMesjvlTQRPu7CwhYim9BZ9gAHss7i7Ly3EiEDjb2Oc6bg0iNJLIWDBaSvMekVXtTDy-fYk_5o1-iaxRis65ZS25vxGCOTvO51lOfu8KQn9eM9w0bvlvPv2hk6sHjNC0yIddPUqnWFUIvLyerPxek8ZEBJp4dkNW6EP0F_ISHdAlAdFHPP6qDpVYxUre9_Bo0f9Ss1f4WbUlhS2v5qFFv2GWHN5EiL01NAqhYzXGa1Z2YKnIdoRJbv5CTNcK6trxTLVW-FeMfZfL5zyseRfrwOkibiMES9mkC_dQrhdh76xEQ09JAOnOLm_bn5LbKwY8teJ4DYFASL6jKGtMVtvfCNwLoxKDcvgQ9fq66j8m7RsJpLPQpxuXDqxwhxyeVt4ojHaKU0JLOER7IKI6SePMO9t2ES8fwE70kPPHtNHR8c&amp;type_route=efficient" TargetMode="External"/><Relationship Id="rId60" Type="http://schemas.openxmlformats.org/officeDocument/2006/relationships/hyperlink" Target="https://qualp.com.br/?data=69jEhYtTo_T7It-g-e4yVSx80P7xy61IVnwXSbSFnfd076hL6_ByyNjb390U05D2EAMCycoii0v1HQ4wOVggwFZqQf8SW0BvOJ8g2uR95KcoRwxPjoQ3M9f9pSUX13Z8IR_TTY2YN2m4OrXaS63kIDq5LrMwQcnhLQyMWr4er1gKDOM3W2rwFT0araHcMrGFiNqbWB2e_h5KX3YuuFpu4uHqqdM2OCeRnA7EhlROez3akPerP7wWQp30XpfnTCoB4QgBFkn22ZSrd1P5HQQA2m3wxFJSVdtVmRCGca_Uu3Wnqshh_UM2ojWL5tyb3APDRBp5I72D99WCmVLqcrnsU60KS3_4fk1r7qLIfFAQgtzpHfRiqLv2xlFSKSf0IqmWjKHOEUL_gxbNE8Aoc90dKPTpSasX_fSucCtttMWNCY2NSnyuLPbhGk0wE1Lc0F2vztgSageDVgUNiJth8R--a4Yrary5anLiPIboaIGAOCSnQFw2k7m3H7ykYECzlh_NoecNhGw8sQD5hzBWTpW_wNi5oPazMeBUZys5nnPPjS5t7vz6yQ&amp;type_route=efficient" TargetMode="External"/><Relationship Id="rId81" Type="http://schemas.openxmlformats.org/officeDocument/2006/relationships/hyperlink" Target="https://qualp.com.br/?data=GtLFaj4QojV0NH68N8bMG1aZgv-5mzISSJxSbW2RuudX6zA4NGiyiM7LaZeSYnchZLjmV4m9KOVgejCAtZDM0blRnUqN1JYkiuB2OUCpawBIH-Qy3JNJZqxNmJBN8-kasXbwWBHB0Hx7FvlzvakSiaqT_b4JTWKU3pE85CYRBoXen0d9-ziIY4jy6QoTrcIYe9Xi3SSTQtC_IzUsERlENILErV3zCflvTyvh3YwPIwNHCbnPEc3bz9frA04AVVMh6V7i5lNGvFTA3XFYdUxG2Muf6_hmuJp_-3EPTn-zA3_vCPxhpBt-d5fEVYIiCru1Eraj2qhCQo79vHtTyrsqJmdemrHj3-43k2dYdnCNstkRsCzwlU91xLNjk1uJbOmof7s6tLTUuKkU9I2Y8WSCoZdHtfEBfS2uUN0NlpWuYtVfyX9eaQgxTITChR2quOo3ruGfEOLZtoSjpPKeFZ7sWEOrj9NZtmqZplDCTCk5Wf4MXv_-LYSQUdnIT6FNxdiNIg28Br0Jyisww5We2WginI3R2mg5uP29d2IF234y69kOWeuZvg&amp;type_route=efficient" TargetMode="External"/><Relationship Id="rId135" Type="http://schemas.openxmlformats.org/officeDocument/2006/relationships/hyperlink" Target="https://qualp.com.br/?data=vJwqH3rVIfkykuHqeDx6Z2i6_NQPXAo71HZBYJMYOw2QiBpWg_53d0AiyJp99Np8DCbmossZcNMpnNS_ypn29razU1rAx8lgb81q3aswcJwmskHjcptr7bnyCN5l_cdpw5JSosziW37boUcIeW6CmX_A5udk9tmV4vTcAiZx73kwlrXQ8IGLwyG3c-RKEcSJBl7bQP2TV4n0qZ6GsjGkh21G5iPcnkxPy2K3p4TzMc2GW26_0IHTDK4syKErZyZr3dwRgI9W3RN_C7wMbz3w9RGfOfhGGyJfJk9S4TgRKJIzy5HZKgPqMgL2vLItXAY166xKP8itxXk_tjG_nY46HZTALWf4A6N4foGLHC7kTA-HxAVD7PLANRAbR3cbwqN44c-mPn5GKJqZDd77LuUYYqfu8CbxTjVT04oBjAsF4Lw3jq-8xNruSxTTs3nCpA8-19X1efkpMzNRzmAE-y4eSkveXCabaqM1Dlx54zyaCaz5ZHFDIt2EU6jdNc5zsDiDxqP9ik9NOY6s1QzpOmjq0e4JHqpLKcldGvY1EGil4F0-Gqys&amp;type_route=efficient" TargetMode="External"/><Relationship Id="rId156" Type="http://schemas.openxmlformats.org/officeDocument/2006/relationships/hyperlink" Target="https://qualp.com.br/?data=J3T0WtNqqGpj64y6SBD3FDeZ7SzKVgjKYlSU-JadrKfrl6ACksicTU08Qq2JmhIfjvKe7vXr4Uv354rBUHbHj5IHyW9dbcLP9h9BgxIOjMuYuxq7tLrin_8awLofxBRdSLzMqBGihgxnvRTqytXPwM5-fxTqV443SqJOtLhCDRR94ui_YJigOklIxZTJvZcz0Q4PLCzXLpFILItHmvYh9TmbVndZwkeXB7QAHL07IsZlnj3I15KqmaAiQ9u5hE2UbUOQ56bXpNwzeLV5uC9GkPhDx-T_NnBijb8t79WEplYVRlPdy2Q9NbE52ELmMkeI0y9t2ptKtsKCAnOT9IK3HNciUywQ80fPoBRm5wB9ROioc20nSFT9bTsuopVeNjVbDEKqZ3YLp27IOXxcNaVax28VSW0_3BF-MeIy_4zfqt7A8x8eL1TwrpdngNKMy3Njz0VyQsuopHFq-p_61RVTVU9T9m_JzUg4AgWjMbfzi1qZubP7_ICkRMH5yVAS4t-jYQDGVrwsKc_ZfEcudNKzQxgrhUH5TxBvlyT5QuDRfxJQTkTM&amp;type_route=efficient" TargetMode="External"/><Relationship Id="rId177" Type="http://schemas.openxmlformats.org/officeDocument/2006/relationships/hyperlink" Target="https://qualp.com.br/?data=2qHi7RxIRX12Y0oXa-8P3L5kzNHz-60brf7Yt6jLT0qag3berNRt2K9kbHA0aJHfzmVF-6H8r4gzT-M3dmVdcwSxTNkxaCirfyPDeuezMKW5yITtOQY5f1KusFCjOlVpaMZujt7oj8WJ6-IodW0gI-6Jm3bDQF1lCTGbqcNumaZ4xIjl2tuV8eiPiD_g3xUJYsoSXzOBUoVLT23JYZBmlJBEXozdzxGGVNR3wPW0bYUynuSqC13ILVUHKWlPQ3lYUBfNqvEMj11D3OkNucMz7RIVhmGjU81A2hBrtgQSksoCUSHiRphcK9K2iYqMBq0uJJvU6KUyzpaIc35oclL8Pa_C3uSDdaRpzCefWNCIm1d1emlna7m6iCLwTYbW50B_CN4vZvMEEmA40zzEw3MHhM6qcgEECQB_fUIGdNQAz65arIWGNBT-sM_tCDamv7rhVofhqAn8Zd9Uj_9AEWFjpRMsnTm7FFfH3kgUTVyhXj8HzcpZUKM5oynXjP0Y2nTnnDf3ClD0cj8gyLhi8frv7niZAxqifx4wiBL0B0jle99O&amp;type_route=efficient" TargetMode="External"/><Relationship Id="rId198" Type="http://schemas.openxmlformats.org/officeDocument/2006/relationships/hyperlink" Target="https://qualp.com.br/?data=CdrmV1Q5WRzA6PY6KU6uzNj5hBljijPzJ6ay6U84CdHhES0EzRwoYhOvdjNrcxI8yPR0wgzXeKIjK6c4esONnNZGin_feNyyGS64jVSth014oBDSW8ebzV_gww76XIWSaHpVeaJpBpIHgSFRPbDvDdxkoeBsVCFEOuJ6wo2WaT05WoqW_SPUQt161Ydx2K4Dmkj1qOb0jD95UXdOdYaz3wKfI2p9kM_AE6sYxzRkEeH-ECAqXdUVJ6FelKeLeK0SdvF1gnCvf80B81gQpYRHjmOHpz2ipuTH4GjoSgF4Xw_XGZTKQerM3CyaghIrtuBybb8EWdk1xhrxZVt5PRaU68l21NYLgVfjJtluKFm02gFa2XbqNsEJZVZLwXwJeT_lFyEwEJbDIr6BSr0f30fZh92NizwanDz9pdRlJmKTOvhc1ChQx7OarajYL6zMAMp9QsSPEsTDYaLJ_CeKTGFMVa9pGhWqU295h8aihwPP9PcndRP91vjnNFIU_bKwupwIVorNTkr7p4Q4z0fsHZZACBRez639xZJfQmpFsrkQRP5pyk20K8aN&amp;type_route=efficient" TargetMode="External"/><Relationship Id="rId202" Type="http://schemas.openxmlformats.org/officeDocument/2006/relationships/hyperlink" Target="https://qualp.com.br/?data=1_2Z_hqerZ-bx1P_y_JNGM2GTE3KCUiFS8EwIz3NK8NUp6QyVciDO4dsEAHdOZhvD6011TciniWr25y45OexxNh2HH34XoTzIBQmsSIpVw-tXItyXgk6vjZoaYe7WRaaGBhVXhp4QNb1oK9ltb9hKuaLxY90cQcEYgaHQOdCymKrJWfLLxZduCWaYDiEQFYYB-M8QEC6pBH3kZGDA3b9sUX6h_1KSvN6xzBNWyj2cGFiKdJ5KHSKd3p9cxzWzFPPb4gJ4GF-t2dyVIPVrTn19w6RxRxG3M3gU_IRBhsRxK9NJ8idkBb4g7DkK2p4nQbFwaIOY0--ldEWDiw6X5PY-OdrIR3zgWfG6lwaVpEejWLRF-bEuxI2fZqNgcwmO7vIAF08f1YQFs9Kp5ZFIcBQuY1NRhgzlJY-7OaGBO_eztsv9sUQLAa2LCBTjOeg72Xsci_hOMxQu8n7Yf3urNl60DseWlfc3P1LxM1_PhyHvrStKAXm5QPLxwkHvuII_f292DWmT_Ezp4m2fE-0b2ylKGo1oUaHlA2oeLgu7nTpiQ&amp;type_route=efficient" TargetMode="External"/><Relationship Id="rId223" Type="http://schemas.openxmlformats.org/officeDocument/2006/relationships/hyperlink" Target="https://qualp.com.br/?data=pc41kGiXkgxhJdcPBM-rRQ8YMmqXlrcivbyf3zWBvo3ABXYffpKJPqFbkFXnN2Dr_uoUYCSjuGvjjEJ6Id53PB4e7ILFnZBxztYCw_s69xpU6KXSDLRAV-9YWw2MJPjSiIjFiwnGAOGIovBhWQa23t4ZEqbweHdCyfnXOba3wr-UiMtYePNWdMj-W_-QsNwV7SBsheCDyv0TyBGM2JIP_X32snjs8DuXUt0lMrBlZGesS_pEU5c8-H_QFU90AbrPz3MuK40oFNB_lWcHpRFOvgFpx1n-OR2cmo3MIf2-B2c7t-lhFRcScbOJbGIqqhb7sAo8meGx6n6APFoqyrS5is21fOvChq267Qx70vMx167qH8MpdZcM8mIgNdBVbtW3LS1LjZroM0hKmYtbqopkodgERNRPhgzc_OCfBgbcxJIhW-PvvGJnoOkAmVgR0jSHBp7ICRL0A0lJpVW6NgeVAvS-aznI7nZu_KePB07mRIpZ2mYzwjamCe81f2uL7TX2sUNRp9KaPg8XmAsVs1Z9F7Ti4LDjcbDHoawoVQ3JaGWfkQ&amp;type_route=efficient" TargetMode="External"/><Relationship Id="rId18" Type="http://schemas.openxmlformats.org/officeDocument/2006/relationships/hyperlink" Target="https://qualp.com.br/?data=V5YRrzVpyArMpfVqTqe-3r1OCLiDFIRUe1-Qd6ktO7jeuWiHzv-uFKM_pSOPI5Wq5zg7rywxToLlqlcwe47iL9W33Ux3YpY7i9DCdXUm2ri2Q53Z66788WlxnKo63CTgUYqafFAzTCREJZIVD53uGLEyGwgBpqrn6lVmFlWwN0STw0m5TffdX9IxUkSoPJU3Xdg2Uz3BgMsiCp1Uyu_Hrmqk4_37fq41s80MBUt_FEV-HKZ-GBDmcPtfV6lO81yiX1lTxN2FpTyRFB3wb45kRsnEWagvBjrsI7dcKSMvauQjxoeqIx6R86NOOnGFUvgKB7iY4wePHlF5XST2H9p0hFy__u472F9WJxnAHJ949OCy6cjLtMr2-EeM9mzR8JdopX7IhT1ni-bpOYmXL3lg4X0YLRrVLDWWILRegj_3Wf9TUXFa-CA53FgDlZZ7fxMi95X0Wit5QQ-IVIC31H7V9ORid8GhKPVFOIs8n9Behq_EABCMCtecc7r_CHQzCRlo6ym97_rJR_KD9OFaO41IzzMqipy3nmwT73lrRJH_FO_YsGNSUWJdVcwDkqGWxCtjde5GdKh6Od9UTYt0GQ&amp;type_route=efficient" TargetMode="External"/><Relationship Id="rId39" Type="http://schemas.openxmlformats.org/officeDocument/2006/relationships/hyperlink" Target="https://qualp.com.br/?data=7aEOdYPb4ASNCHGUAKuTBjs0lnCDlvDqFWbNwcy6Y80iwblKxKp-zOlrhNgBSb7L2jFktG14yZpM-NUMtfHhJGn4-aCQF0z-ZBDlZz6sQwMYCWEgAlwuVYjMP1wpo8ahqlVHaOrtQPsnLse9Xq2UX6Px2muUsCkjYqkyZUklu3G9t1yVePZy-ARagEmedIFIzTFuewlu5EBGn3F-gpALB2tMss_ojDEC7dp87ikyYTqbTCMRmhI70FxLc886ZlXxsRhOtyuXsxLwY8VnOsUfQ0xySb5IscGekGwW_blZ_ASR4zv-y6QIR-AiVkt-ZioiQXv-k6lKTTOYkSRptlPe_HHh9RhYhnZxKMOqyfn8FvKbb1UH7DT4DVGatqfoCwFAMky4FfI8T4HXf75k9np3lo1FGenknpZBvZfgSv1Mz9v0RusV0p26Y83xE3DH4uNVGvs8_K-RD31yy_fLJ_dPA2TqWUk7VWfR7NAFzIr3gvlI3qrXJSjvgYbNDM4sEyyfGncC8wb_r9_hb-8Mz1wrGUx-jb6sYrIteQZIrfWXKWU-M8fHDosFnrrQfj67oFw3_EdpmLiz72LAP0fmqao84Kc&amp;type_route=efficient" TargetMode="External"/><Relationship Id="rId50" Type="http://schemas.openxmlformats.org/officeDocument/2006/relationships/hyperlink" Target="https://qualp.com.br/?data=P9fBHs7Wt8RnBdrCy7HZ_b43u-KyfF7s1YMQ5aABq2jlJyB_JMt2Iz1co-vK-cPs9ROCFttBwRqSS3rHVJG-RbfzpqyRXA4O-3QrdYE7AmaqkYvgXebPEsXNbsDNXnOJR89bvP4iJsgCz7Uf3hfQYn5jSRTGoUVq81AKdeFHJjQmf1F6OkSnEmhcU55UcqjUf9hvNe3fCChIgaZgLUFDCncgV8RE0Nv06Alo4igscwOTFphjnVghC9oW4hf4rmkJMxrSXnds9XO-mkrWh8xgihETQ6IKB7o4lgoz9rqQvZaPBGRafbQMgWorAHqUWxewTiq9BLcQjtksMf5_35i--w3KMdFxotiCCTzWQ2A0Gjwwgo8gQ-Vh-YfkbsPlkGeliXP58u_4tWn_bvcgkoFeOFdtt9G03gvR7DpzgjIr1or4MbnP59Xu9tBLt_CUhyHxL_z6DXcc1MDZJLG6uqIPcYsCTSJsl3wn8dvct4wmRlZJh9FAAe5Rw907idSJqRcMpxEiL-uVwegCT1xIdj8k-7hWDbOSuyFMi_qGGPc7S4rqxsLgg218ZrOsJ60&amp;type_route=efficient" TargetMode="External"/><Relationship Id="rId104" Type="http://schemas.openxmlformats.org/officeDocument/2006/relationships/hyperlink" Target="https://qualp.com.br/?data=35_tYcYDTiIlID4TxUKLfZ-Q6zUqDhyG_xfLFmGBzq10dPvAueVXjc5EGSL0qDQD8YjjcpCUXK-o-pIOQ-FEQjlFLhFFZhw1XKnjBL7qtCd34tnewhjL2xKj0m1Tu5Hc0vRver_mXHJlqyJwf8UQ80nM0gsREW8E3ok0DiZJe5M3TiqMONBWS6-WOx8C9VrfsQU8adahiolxRa75qmFKt6ZDT8U3U_Ok9FwA02iJRrkHSBTIrGlMElzAZID3AAFfP53hTAzXY0BHsBDW1v0gcoI6gjz_dhT7rDv5qKMqP8or4rCr86nFMx0xQPKclSUpttCu94lNq00NGaPwpx_DeWjTOGVP6GQKnsHNa4kvMaVLycVnP7D3qQa85cbk8zcccLuC_haxzkSNsy9c0Ystc_HNigEuyAghMjvMm99NGZ7uSNMEXeHlyWh-GKxYPqmRPY7Tx00nwQU_OwS0-sKnxp43gRWtvyYIByc8DxlRiNTD7luscZyMY3w6UlPapZxkrXp-OGJldNEtM0pl91NYOFrnOzBqjpw74dMh6EoJsLjCt6FSsYtOoQ8&amp;type_route=efficient" TargetMode="External"/><Relationship Id="rId125" Type="http://schemas.openxmlformats.org/officeDocument/2006/relationships/hyperlink" Target="https://qualp.com.br/?data=6ezWdtClzAJ9x2YSe4bDSY_ctInJHty76EgmOpwYLELeWCaLcCrmwbPDA7VqRA7v9_yPYnGxFmLvp3WSmR1WKwiwfVRrehv2UQRRhMVAUfoqVVcK_OwckYuQsK7V3vVZuyPJ91E_V5MOLPifQlfwDI7v5MKe0Re-LNi8TAmoXYk3VChzaal_6ZoykEdSqcSqw3BATKWu9p19Wy77RU8qKgjdT-vDkXzerQSn6RnVMqsx2FcnBaKl1Pmw9-AUvber1pCsdW164uU-iW0CyPU4BiVXsYalaCQ-1wLCfPjnZr28xmzfvaXC8Pyp3fEaOZB629ElJef1aZP3eyfIOyEAsF0YUTVXz85ykmAwdQ9cfJfJhK2YclXhdrmpHs-idi7S-_ptjuiNgMjWKVVFb9kJkhcyNZh3VOY6mzV1Q77C8KQmluV6bUH-G7aXe33Lt1z1Y0HN3j-J_I31h5VPkF-xUX6eaTTrbSlUYftGaHRrVkhqLnYLOUq49vLl69lfnovYShB-CK5_B0K5FEmmn7VmsEIuX0im2D2v_HijAu5DXRHntao&amp;type_route=efficient" TargetMode="External"/><Relationship Id="rId146" Type="http://schemas.openxmlformats.org/officeDocument/2006/relationships/hyperlink" Target="https://qualp.com.br/?data=niXRMS8G4aeLoC20K0dC1Q3bsMSt8X4mxg9ZcfylOX43wHk9P9FwgZ03dTxuGy4b0CZ_dVx_biSihZt_3KIumjMFLsBitYo-ZsrCLjVDk6r_q1erHG9ji0sFfdS_7RUWT5kaIaR7MPoih77V-NMteRVMjAQgiNKx1v9mXnUK-4xHE4Caoaq2qF2Lq-YHSYYojsfnbjE_0tGeW601pOI3wRbg2gy66mdHwUcAyYzr7NvuXY2XJYoDaogxWzPxKdHjaz9qMzTSGycKs7m-R-R61RUYAvl1qhJfROH3FIFbrP4uERb018o6rAIUVdrHzN0LJaujiG-CEQoWkn5mvNPWnQr5U6igNVsN8BsfnXS9Xaz0XikqoKCxYsydbJoD76VZUBthDSJlqE2CIHJfne-PYE-sC05d_MJqa23uKSJ381GgXPudW37Fbdg-fG4ZRCLO1WJvwcoySYEowhW2Mj3wxjLYgunrNUWkqHYvMcpABUJoQBdlonNVEx_fLLqnj5HcGJjnfCsG2ncFms021w1eo8KKnkZzm7Y85zPcuizJDd5UxCU&amp;type_route=efficient" TargetMode="External"/><Relationship Id="rId167" Type="http://schemas.openxmlformats.org/officeDocument/2006/relationships/hyperlink" Target="https://qualp.com.br/?data=Co6Mw6ISrq3ivezGGy7tu0L5W3Yur7epuOAzWoZE1khJkkxFstvVcwRuu0rgAFbmLAdACNpUJ9ZgO1c5BC56NU3IlLEZve6tmpUvO20oZOHJ_-ZZya8XFQhPr8OtSkRm9U3b7MPk6YDPw5vqcnuZ9Rc6wAqvr4vI4Pqx7O5sYlMESXJC-JJbdzC6-MfG3TuCGdlKqYx09aQyodU4d0ssNj3ue0a5yHl0Zf6TLR0eyjlMyxuLrsNJy5OXj-KP3DDSWus9EKG4eGbxt09dX5a_QV6vHLIVMgbObkGutxc9kOULspAYTgRVSe6FbPoQiO3tN2fObj4Xcxiwp8Qx2fkthwExwYUxvsGvfyL5I4zE795lchuDB4agYhcboCAVcoph2RK156cJi9KdF4UGE_vsoTu2-wnbp6-18R9-38bdkZv6_S0X7pGftAGkx1e5Pu_UUsEOPE2io0jG5vgK1C5lMbxdJDoY4glZsg_zYEPGGTxPRD5I4xS6xCbQq1dM7nvmwJaThGcbgcF412gE9eFcA1L9lSr12KA4ii_DT9pb78yjVZo41k13GQS8&amp;type_route=efficient" TargetMode="External"/><Relationship Id="rId188" Type="http://schemas.openxmlformats.org/officeDocument/2006/relationships/hyperlink" Target="https://qualp.com.br/?data=5H62QJ9oAPj473ixW7Ei9ChwsWNpVfaU_DIUQQCJjgBLnruO641pXQXt8_uqQIk9bXCwRutmpX2TzrGMdqQjEXh41-RPLR_1LuYbdEc7sww4rDHc8iJSkiTOUMWusNIy_dW8DxoO-aogO9lDm6AgphpnsweQq9JfzkeIH2LSyOFAZ8R6dsEpGhdF_MV-TCUCbc01xezCreiFqb9CE5yf_fAwaApgDd9T3d09c7Lx-x4UgACHF8cKUuAAe9EysjeayVYZesxU4MQES-qjhX5aNB9AqfkDjOYhoGvAkD7UEvAyxmTWQb_C8lyvQQOTMUxdau-bCYY-SpHNSzHIB-t3fbdcL9L1CqNAappgToXBZ9mXJvVdWjGmNIEcrpkbLXF8m9wyoT8VYFRej6xOQHZDSywbXf1sLG7OD93O7mNDNEawmMq711YRsqwWaToXejTUCHInmE5dRyMRrLzW6ewZ7oq8WJWsZtGKVA6KzLMz_sJDEPrfXx2HFrqN_Xk2zE_z9IguH0iXY_SXmiUYm8Aj9vaRMHPW3Xuu05pO9S1PxeojAhMGPzk&amp;type_route=efficient" TargetMode="External"/><Relationship Id="rId71" Type="http://schemas.openxmlformats.org/officeDocument/2006/relationships/hyperlink" Target="https://qualp.com.br/?data=DeQ3gmEBwr_vokFk0vJkW2JqstDcZLhV05n_6RWl8I6n0nNc8fsLoBQ4o5e8UAcf2qZK0HEQ3jAva74KnaORrVqbApnLtrGlVTbysXPN9-ZraVECcHvKs-B7e5HFgMqkImvfVtfzNwngGcbn-KP34xMMyviLuLkXZJSoQCbFwOCC7WyFm9CUSjYXitzk2IuvxbZkMEbDP-fJrfdNiOjG43RioInbcSQyLeLZoQ7x4K559lv_0kQ3b6PMWMBqELq4rvdvE_g6k5wddcEmGIG-eEk-6FuY0ceDYs7eVyWbETP0GQrj6G2lwh5ay0m0A6rbvjkYVgz2QraRWXaZ7vTzt9Ws3uVeWwl09Wsy4YqCb7pZSzyYSzx_LeIe_-N-Wvk4cwZiKRtYjgzdkxzhXnFkBFx8GxdR3u7kvZWzZB9nfLgYs4IhpjObp7x-ln3foR8wsOAYyqRkTsUwUeoGvPXH1CM7EjJj030DtBGZRV7g04-aiqb2wFbSx9MEPMQiJTUE3sQg2-gsW2icrSSXNnGFoBeLAT3W7A4CPKwZdL1uoJEGXu6byw&amp;type_route=efficient" TargetMode="External"/><Relationship Id="rId92" Type="http://schemas.openxmlformats.org/officeDocument/2006/relationships/hyperlink" Target="https://qualp.com.br/?data=UllMhMTfGVZPwFUoLInjqjlcABUkf8FvYu_-OqcRMqj6FycZwjZPAztm_HflW94wVZHhtf0pFFi6zYyb-qaGKDITrS5MMRXj5Z6bXTLDUwFP6-yH_catqjTSrff59RFaTudweqxWb3LYAN1kDjUo3798iDRNHqXxEZCjxY0M_BVKhNdXgYtbhyIqQetXNqQdtUF13HXAF34cnMHao0dXbW2PfZzCHMHKDaJTwtbNal9Bdx_JtI4Tt-ddc2XGlrDpMe9SMSza75gYAcSizrkpmAWkkRto2pPRfpcrcASm47RXz3S-dOzj4KrZJBemG0LAY1wSr5Ea_LR2tYaC1iTmlKTWuzA46mMgljDUCNseCvBj4lmG0X7as6NY0x1SQYIR89Ijw7aAg5W2BDtpj-KsAsh6UhmLq6_xP-ZmZQaoFUEnTc6gWM9398lNMbJPTNXgg_o5FISRLV-2qy2ObjZdZrKEc_9uB26Q-SdviPVnU7f0f_Hr6T8krDa_aIkRvXoe5JmzRjb-qz3qE6i1J20ZgFrbdH_kLzgbL78Kq90NkvFdDg&amp;type_route=efficient" TargetMode="External"/><Relationship Id="rId213" Type="http://schemas.openxmlformats.org/officeDocument/2006/relationships/hyperlink" Target="https://qualp.com.br/?data=CF6vrjb0n_mhii7_Q0g7NeeZa6H36OyuvMLuHw6jOMuFOyslDtzMoylBmLOD-yLE8GdYOFaSYM9wLxsnGDSp8ZgsI2Eju03OAjUKdzmPzfc2EVVG3Te0xFSr9jHHq8oDdC5BCmo4y08mg1YOM2l_c6-QQZNmCHo1mswBXqjjZL8rRRKlKVJbLVa6JZf_d65HzRkg_nLx6WHgc1N5F0g1N6E2WxeHsaIzTXaxfA_HlhYCVUA3uH5v0pdH9Bj1oFN8NzM1JFoME7TfJT9sP1xTqHj2HrQ6jBi-7tClczCJC9Nj7Qi3Z-Gpfg05hqoZ0wagQ4tTBNcccUbEy2GXV7yszH3mot2HqC2-EFIo29WbAddRyRDDTFl97HJzt7fJj3m_1UqbZKFAma-vKfUClDXm0i9HKba7YreKl9fTPqmHSgKcxp7Tc86hPVn5lmFrHkEmNQAA1nzQOjB75gzNp8kTutwrXH7nra7EaKj066jAMiPNZrwxq6V5ARyeezIy3XsopJZle7Eq2PoHMhTno9hj_EdbbyAaYpZ4L8DZpS_ogCraBuB13e9lTgJqwA&amp;type_route=efficient" TargetMode="External"/><Relationship Id="rId234" Type="http://schemas.openxmlformats.org/officeDocument/2006/relationships/hyperlink" Target="https://qualp.com.br/?data=IoPIV1526srjVNcqRc3cg9ZK9LYN-Jlt--O-Q1shlqTkHOB7PJGoAxN7LS0E5Htluwnek_e38eVE4Tms-peOaUot9C8Nek3eTsTp-eRGeT1w7k-ckSmGab7ujwThrWrsA1DhQ_Dsn_an3qT9exhqGLhvM8-_jVlRefGU71Xiuiq7gg8aVjr3bwuJfjwyHkGhfkGFn6qEOa770OL5XNgdvFwMh4-JqQil8tYVYVrRP8EoLx8Rgp39gtxIsrs9et9tfj6Y9yhBxwZXOcwoqpswM8cm9ZcX7T-kDI5i8j68xq15YEozq4auPmNkw_7gvAd2J4IO3qwi4_B2LHG8UpdfTtDNZcEV4VT-k-wzd1iHweCpAdm5PpMwBF7qiQytw1fUBAQhyMrpjgyyBTSCh1ivHX2-VRHoG4SkJS3XpNRgtnTISfFOTMjpuGqz0p1DXV3ONhAnlCMzpcKkb2q1UBN2yUSJPbc1Op93-M0DE2IJe7nj5bKTlHdYVQmwkzKtRD-9V988rr4-PKiZ7mHNKuc4XL7ByXBxiZsgiKpje4B5O3OgNBg&amp;type_route=efficient" TargetMode="External"/><Relationship Id="rId2" Type="http://schemas.openxmlformats.org/officeDocument/2006/relationships/hyperlink" Target="https://qualp.com.br/?data=SUDs-yDFzOZ_g2_ZiVBypcCGjcSQCTzssk-Pqgv78Va1QIQBzIutVxDskg7cvdYtqz-sX7yrFtBHXk2JcWSJvqWdkcL3fXbyJncwZ9cbAtf9EzvLkGDcXTpnb82E2jvC6zv4uZBPkube1br2LLU3231cDwhQHkLBMmb70kVrU41WmoAdgPoIbNVeHfF1WqbAg0GENCJ-NtUdm_NmNapkQUosxxB424b8wK6ra62Z5jgAacEq5Exzguyf8ajThlc5u67qgCb0LUpm_HOM8AFzfnzsjonSW_2f2j6E9uxt31g6qniJMBAnvrD0ttNpL0C-ZUDn7lJYwjQZUJuX--Yh4mjotHwWq280aKrmzvzYmKjRlpVZPe-FS0fqTafNHLYmaS2hhvtWu7uoUahTwmeh7VKeEqbHFptT0ZUa8rryTgqDzE6QbDRFXUtu-Zs6S7gEnxbuiPRptn5f8fpspOAazngQxOjNCKaLLcBlnAObDra0Ws8HzvJxh272XTh2I7_X8m1wpaV8NVYN7PJi8CN0jWS9ATtkgOT96u_PcMN4dtQrf070f9r0PWTpFKwHaOjX7Le2o9Ppi9qTWA&amp;type_route=efficient" TargetMode="External"/><Relationship Id="rId29" Type="http://schemas.openxmlformats.org/officeDocument/2006/relationships/hyperlink" Target="https://qualp.com.br/?data=qOv6fET-3I0ZUDq_XrOoZbUTLrPBi7uwIRV2WUnKHYQNFTo1B1rarrxQaMdnFFIXJARo0J8XdmfRz3WI9oH8fuZXSjkWq7gR9ky5LmfC8XBEP2p0wuRGkL785hNVb8X9R9kKXFo0dAxOf0-OFnuTKslV7Q-7eFUJ9dNtt0-B5XWC43mUvJUtspC-PNF9jzn9tbD61U30_Lh0R3_MxzREPtuDmSq3RRTDM1wVEGMBiTon0sTuqCpk4RriFmU2InQXGG2X6amqrb9rAultiCXjfzeAfqsFQIEn-Sx7S6mM6upuWIXfYzZ0tWbcJ20kMvjk9ckDi_H5sQ_QojaJyvXwiYFd1jYc0_MI-g4QV0ajb2aotOglUx3whbRQFBxi2kTw1QCQypZU4cVN-OcnxOLF9vhHbwd_cwf4Y-5JPJT81nVje6Yxiss6X_0TgAlYjxH9eEb5bG9MbSAkPOFdIgDzyAqNczsJAnaoF97A6nUaP0Y0Y-eV5lrDrA54Ka0OejwF5CnIUlPJiH-dUU__HkBT3yPn4hRvmTpKRkZM-yLPKD_BEzJZsYNI8nx_y6kaJagPHuxyQ3Wko_Eicw&amp;type_route=efficient" TargetMode="External"/><Relationship Id="rId40" Type="http://schemas.openxmlformats.org/officeDocument/2006/relationships/hyperlink" Target="https://qualp.com.br/?data=dCUu4SGOi2rXX6jBe3MVmIRKSGm0BzvmGEMkYFOuRJF57wUvtg_6oZ0pw3wGRSNcdfRqz4gwOBr7EqhjdRubssZNqXCSjEjF125V1QJITalMy5Z0PHrkPpwrWN85qmqGSWggEeUzzGiWhjUdaxZufwnCbU89G0jDnJW9aX01Jp-0n2NUPFVaOHNsG2LAq6yslmLPo2TGX8_e5QMitEdM195w-ud8wqEpzab8LytMUcqJyZ5T34YKoRiX6mbuJ81k7X_K5o6ggv8UeqlOQ1TD8Ao-7OMWhtiGNl6W2ms96gqaWErBPTxNzAsQ8SOuU1rPoPFiAwxT6VP2UdVPuE4u7-L1dD0Mp-FteJNuEOMNf80wVzzn2U5DP8dtIPRvMLLvs-1FXwAiVCv7-ueIVtKNHblvfuaIVOoMnIpVu7YC7ywhKU1YuvB5bdQ6QAJtTfdrX_JIGtWKq-374lPUkodZNJQ2PlMgnQMhjbuCxkHuk8PjdCjsezUN1snlf9TrbamGRJfEX2wlYRWNJoVbMNKRG-kGiR0ZxAx9oKX7YeHfBpRTLZKzq_-p1p4qWgcrS0cEgg&amp;type_route=efficient" TargetMode="External"/><Relationship Id="rId115" Type="http://schemas.openxmlformats.org/officeDocument/2006/relationships/hyperlink" Target="https://qualp.com.br/?data=SXxi9g1iBI8Efv9FMQKM8F5sDLCqGyvpH5MymKm3v5iPUmFjeecO9XXJ6B-Yc0P2TFJ8ccuWS1VArhQJNKQ6aW4OD9fiV6TUeYsdVmp1jDbXBUPfFSrg-WPjNAuHbd_ZERd6SOrjvbHRyIXkBCKMwlSr_m-HH2ncjLuNDPBGvrBK0N1xDhhKWp7PM8hNwzV10HRGefLhOUnjuOntg90KFrndbsa8YZN8BMfEUo4vnlEscCKqudnC12B0o1XYDTufq7CAWOmc4-5hzKLy2rP_XiZlVJ-AHcw_mpRZs5tstKY1r35AzIEt15UY78ChV41VieQkuEHili7IzJrIfrVEOLpkHUvylvXr4sfSpfGgMvIzyywq-mC11bpJR1IH_yY6oAAGA_AlZfiXtNeUiaj-iuRG0qoQMUICj7plSnDw6g08hqV9NrKadLzL0sE09Rig947DCcUxezA7cxDbbXc20PBwfi7difrTytC_5gWcQx66E-zw4Ybj0SP2CXgn_ht3sJ97XTBVEPgwvVNRiG4lippypZOlwbfSw03l3ueVvRCpfAwiHV8&amp;type_route=efficient" TargetMode="External"/><Relationship Id="rId136" Type="http://schemas.openxmlformats.org/officeDocument/2006/relationships/hyperlink" Target="https://qualp.com.br/?data=f9Wgmq8VVLn9YB1cgcCvHHHebVWXZqvldQV_l7a1jat7Os1Z_aKmbxMMd2mWFrZ2qY9QTt9oQKVQnA9iCwoHuyq8e6qhGPZluW-OD8lK12FEWpdJk2ESuH2xaMVCaJQMQUafh6OhlCNHrm0ZL5WG5E5v87iEiQZp3qjslwgLHxRsYduU-PWl2NF4ZEPIe_LzYg6dgQr5AolGNcZm2ZPiBaklDLcmAvdRi1q1YumklN3Y3omyVUyxBVpuJwatcP53LCu8Y4-gKr7Ep9tktUdbyY3lSuAYg8Bsg6OZYr5139VD3tKH7DPNhNBR2uA4yaPYvdUzRjZFWpFdCcJcJ9AaEfSShDnab1_MKljChu55IGtC7nShVQ13BTYmCOEPNS2_lia5f9oaY14IbUXoDD6YXYkFF3_4r2DzVjTW8AZu1sWxizvI9bRX33jzOXzIn-o70Jc79qMtfRPOFisxSStAwru8-6VjiWFvpOaddEjmkKxsVUyqfSYwlqxf3m-NJLig76Beg-9CGvTyTmoz0p0JrLj11RLWPWyRsgpy9JfX3H28Qd4&amp;type_route=efficient" TargetMode="External"/><Relationship Id="rId157" Type="http://schemas.openxmlformats.org/officeDocument/2006/relationships/hyperlink" Target="https://qualp.com.br/?data=2JaTMR51gdeGADDDYP7y2jeuZD43X7Lt4q8gmO9Fyh1K53LpThniV0ZkwdylSTEFEcAGdpebdQ1BZyDTGs7SBbmlGs66a6BY_pUbe9QCV2tZEWaLMzd12A5ZVG5pzd2Ik-gReqP5gNWvKy5SSINjx-liDQ5VwqwiXRWiWf_jYMMkpSgbfurW_xxjo46fF93ejqKy8hx4LV_uG3pR_syOC5x7FRARIEIcChFNqYolO2zvb2YyR1NAR9jEdKywulbtNvjyyaFC4MoLZ2Iz5EfW-n9Hrz4AboM3HkLppBwp0vDl0aTA_DpYl1YllWO1IQJ5tSNm3qalftsCD6OYFRb270KuMXOYDsble9Vv-muKnQBzgKxdjBnSeXvGVls6tGyt9w2woSO8UWrotE_mby43X2t_OZzPFZRr9bH8_Cs9fuN6aQGg2pr7LM2q_Zk7t4uiptx8kEKDtc1_X11FP1IMaQZeJAQgiHwB8xvJfrwOkjdN6_yb5cqcvvvGF93zoVldtV5nFBrzNT3sLMrWI2h41VQwIFFH8MTqPTI8AAAml3jRhEdQtsdq&amp;type_route=efficient" TargetMode="External"/><Relationship Id="rId178" Type="http://schemas.openxmlformats.org/officeDocument/2006/relationships/hyperlink" Target="https://qualp.com.br/?data=cvZNUMcpj25ULs-vtt15cyg-HPwMlfoj3wkp0RJgJNnECRQvUT3k0oionvUcmPcFSG9bYQgWYYnhbb9BF7aNFU1OaGz273-uUayshXeCkbB84gADYIiWkCXaU7frLoXyjiO3E_SkbCD5nzWZ0f9i6dCL7dATJnuUGtxTG4_dleI8ytM9_qvg8UR3gBuyyMVXTCiyQxMmpYZ875OJ79wvT5aU9rPrhOqNgxBXq6t8vib-2HDYDULNXz_f58xFk7mHOmQE2KDlTuywQ_ePdyScUT8crreBNru68RKUBoaOPDgd6X6ORUiodUCCQ2g2JrDCmVUrf2meLf2j928Fu-yV9wOaC33_Y-KDNYwWvM_EQUY0kGIUfHfpHLjTOuiZrerRvNwub2QNcUkU4D9Ao_dt5yCuIm59TmcYMuXWhQiFwuKaYZHvSdp3UHNb7ehNgrjiytNurysZeavVicfkvbrW13ANhNvRoqvp3hk4yGbHpvHxFHwcJ-S9H9REjEC3u50lL3MAYLx2QY5JI08HJ2RLPYZ57I71t3LEQLD5SOZoueo8CYnhOZni7bLzcFjmz6CeUWk&amp;type_route=efficient" TargetMode="External"/><Relationship Id="rId61" Type="http://schemas.openxmlformats.org/officeDocument/2006/relationships/hyperlink" Target="https://qualp.com.br/?data=2nHlhG2w9zem1tymAJvFRwbNB0SVU6nbUiUYJKIa4pvFSEB8TKK-P--Wvohz4OmuY-iy9Eufow2i6IdXhzIC62JssLeFWOfZp1PFgc9WuxFaT3D9dqhyaHPMzLlYWT0ofKw5jUNN_72aLVodS8BZMjNE5NyhnPWOApCkCZu-5Aj2eZ4o0hwgBDiaG_RpzbdRDYofHjs94Khn3amjdIFtjtoptuqsvLC6gVN9C1Wy7Y4dYZ0xENJLWD8gUOs5cwR79P977ADgt8-jJqtZf1S0HBABbaY0lCSqRrGnzJdQwmx-ETItAjmPwsCBoiewTVV61YM_1ZOHmizrM6NW33tsYFaQCnC9xEeCTwt4OjIL_ePl7_eCgIuOKZPB8vrLuv98V9etji8Q5QrryOcmlvsPbJQ2NFW8l7dmZHmJbyrg3pDRaudXp9-4NVbimkGeVxJWCQYSTvAywedJlgIkcP0mwOBo2tGcAuxo1C3BE-08E4d7XBXxIjuYMhXgVRc9ck5_2yOY1732WZVzi6JVvZzmhqbQqiXtqFdFW2yLsz65k_vNtVt7JQ&amp;type_route=efficient" TargetMode="External"/><Relationship Id="rId82" Type="http://schemas.openxmlformats.org/officeDocument/2006/relationships/hyperlink" Target="https://qualp.com.br/?data=S91vWVgMogF186vxmHDljtWk5ecHu6NdJpblVo_oyKIcVvncD5iHtskU3RqzAzd5-psBaWIcuFtXbcEu004KwS0-N_tj_13EYHn8WER7I6hFcODSBYQsiw6VirHH7KVr8YvsJXANZ8A26JsH5SF8GZtDdd_HTQQoajhlH2dblZGs50Mx-O15vMmM60CwmeTL8xLar2U7ZCCctzUSw3NUuDUG4SIDbaaV0QyuwtEAZtFRExBxzmbCz6v001AgRE--_MGq8Ll7xu0k3GJpHQ3NaZE0Z8scgI7slNiNONMzVaz8r5YO2FWCM0IZR36kxxA5IJhPBHcoB1Iz8MlXtbmZz2t0P4-6h9UBgV3__xmOi-wMMBZQHOfVnzh1ymxYoK8it0f7whlQCcGpHX5hghSFU4prrCQmSBUQGB06Yc9gHKNxmkC24-Tk10RevQKzVlcB1ZPW31fhp7h231ELc1mQlxp-v0hQAIXfkjLEq8AJcNyULRo1pmOQbSQYVhyxDWmgDUPuS94-GqQYWqxIZ6dImuOMyOSsS8n3brcrFRaBfRVP0A&amp;type_route=efficient" TargetMode="External"/><Relationship Id="rId199" Type="http://schemas.openxmlformats.org/officeDocument/2006/relationships/hyperlink" Target="https://qualp.com.br/?data=WmgNNqRMyFQk-CUCCEqT4MLkimWxRi0rjASOjOz0g5a65yFLg_xnFnJw9tPiAmNNxIf9VOhPSuTdWn1swMafyAz5koeg4hjQ5oY4OAusx95fRIrvca2P3SAMeZrngXskqGEZU4eqICq5p6OO3Gax0x-Js4Vp3UfhvQDgH2QGTpMYH-uw3lX7hf3-jTCNKToxdQbQFKYsma7AUUWCVhMhsrTjehK6_CSkBN1gVbSAZknheL-qqHtdLpvby6z2wIhy30SKMJoxIleqLDiY5FK27DnpPsVLMe591ETJMrMecjuSJLoVJZWJzCj9BWoYjckFPySu39Q8vI9c6mHu7N3FS2EOivkmbLCT25AreTXb_qMy9j0W-GT899Nv9K5NwNyN_3ZSvZ4U32yM5l19TzJwbmkfyGypYL-Vg7GCy1yumP26F_SiGKrX8U2oAbldeIDKY8k2nLklUnPyAnGx53KC3eFJEknbhJygOTkJB--ThTSPaM_VAP-azYRIbgn8DhSI_8fbgylpjOMXApIcAsu1IPHf8oTNqOS6SNQ98r_vqxHpdAk&amp;type_route=efficient" TargetMode="External"/><Relationship Id="rId203" Type="http://schemas.openxmlformats.org/officeDocument/2006/relationships/hyperlink" Target="https://qualp.com.br/?data=mYTYd3sNb_8ZUezs2edh8OEqTBJmXOIWKNzVF4G7Fdo_stBRRknBRKIlh_TtXuxiG9FSWLadHVZThQDqojJQPCQzPJFEdDCM6JvtQ6t2_CP2DdGv4yxcD0Eu9zvvYGcPidW_EqiVvZlr-3jooml7E6ZGrBnPPJUzb8ReHErWbRn9Oj4jucIOJeloF9rkLlIq1gVLuvPhbiWDOq_k0WfP289ikmHM3kIhtrube_v8eE8ucSj1ak-uO1bfZaNEK_JNvx4Mynz05vYyjdgH4RRegil9QzseP8fG89wgE5oIyD2LEkaNyBIJC6Wyeotg0k0KPr6WTRLU3iKZ1zynFdqthjrsikZ4fMxUC6ybtqA9PBa7nwpbmAyodoxYCi1LnV2KN6Ql3pPYFbv_ar6c92O54tMA_d9ccNRUgBKBdvdL-p-oofSez4Tm7X11UTdVuH_TiuEA7UoSHkYtzgz3cGcab15447WemILXZrpD6KRVtxuCqB6Yy3cDAhKC-9xWFvle_PcZjMm5aMOGZkAi0zbz25QBerQWyJtCBs1sKqLrA2mqZBKi&amp;type_route=efficient" TargetMode="External"/><Relationship Id="rId19" Type="http://schemas.openxmlformats.org/officeDocument/2006/relationships/hyperlink" Target="https://qualp.com.br/?data=ZRiT0iduwk_azC7OBvj35Lbf_QqG_v0UgLemFc9MJp2OJQF8hEHAlGff3R5d41hlg9nXAEwz1e0K3TBinXLlZq4tbd-zLXtxDy9U4Xbkc8mIguyIo9f0l4fVchR-EBmVee_hPQgybTPFFo82eg8rR8lo6DpP9qZWbNAbfPBOVo3CdOgKg5kYRCGoLYKnOiiX9LtATZxt2VusiJ1-639Anrboc7W5v4Hyohy1UXjOimpckglA071rrKmkJAz006cVJKWJedUkxfT8ptT9V2-DqtDl2pngYcMQoQKB7vQgZOxlP0UN0ksyQtogyQ3-RNI0RE0JIl3goh2V0oQAxvQsdQKp9fWLiLJKtJzB8D6He6dl1S7xWd3bYQDGc3kHGFhE7PWAan6D5MhaFTs764sryeyIB7AmzYb2mVeVvIHmxYPdKhRXDzn2oHaUHloY8MI7OTALS0Gh8Oi3nQqLeASd1_8EvyUCNLY5fT9UiT7J2Q0BCveLvtnw4eJXZYiTyj0WklXZBiwsiSQf3kat2EQqP-jDa89f1SOPnwTWyFRkHfyLdKaqF-7I55TyW4y4eKs3msazaX_e&amp;type_route=efficient" TargetMode="External"/><Relationship Id="rId224" Type="http://schemas.openxmlformats.org/officeDocument/2006/relationships/hyperlink" Target="https://qualp.com.br/?data=qBnL1YHf5w1KRggXAyjzKVzOWIcvNNcMgbJR_GmiAK0yZJyBZmzymGNEYv_j-N4dBTSuk3G67MszRpGEwbS1Vy9YOhvEogqu1nmyMpzZBOMUZ0OSzrzVfE-lC78m2FfWaH8yP4nvIn3a_4HUqj-wc4aWhFD8X2pVb-FS25dPYcwEXCGdZjxYS3YQ2oaC7To97DRYf89bWhxrOQak4mJ8-oD49jMPQRxhHIzmQZ6HepW0xtwjUqM-MCmxlT_6PdMTSR6kL_IFFgFvCquX7jMCwSC4e8c5CSjfLr9CX-4yuDr8okA_ICher7h29p2_MhgdJ8V8aT2OYKkYNgMQ559yutrJNjBfadfIU0HgDEc3O5_e8OjmtmoXOBZkmmHiGcK0jKMGfGlW4JiOO9Wspxeu1Dpo0e1xDsVqjMfLxapj2usu4zfnuDyAMTdHkMWhB01u-yxMdufd0R6mdzesp2hIJ4fhopyZwcK8nSRHPxOuge7419XfH1w1djrv1dt5PXzPsybNMGaOXBgDptn6MdOctRW0SLTZYv07eLSj9afBZmgUCyS5&amp;type_route=efficient" TargetMode="External"/><Relationship Id="rId30" Type="http://schemas.openxmlformats.org/officeDocument/2006/relationships/hyperlink" Target="https://qualp.com.br/?data=Ql-a5qiDy965q5ACB2gKGxfYiWlEjMCgrsEmstPgDn3alHkw9Om9rKKVe_w8oxpzLAHWwls_zTm8F85jkk0UVopTQkk0krM4nPdwxWmQBQ9l7DR-BSQilwo_4wQWS4l5yLI_fX6cgjM-lmD_XGrO1g9kHYrPNEfsJ8bwYwNa9MWnKBqXYMttGbMF1WMm9aTIk1QXgvSh21Jvev9_ZU5Zg95ICSZ51EToU2YNiHNBBpd2ImPpn9-TGmscbZAtaIzqZjJbvvd0FeiVuOLTuIvcTsrbsWUNmVzjoby3yOAD84-fu96v0ecyc8sUvkqrQoNGLJqbbi7KTUcREZDvKYYq0AthIdcAkz3XoUyKxd6m6oANsLEwm51NVkc0vKFN71e1IXOw26P6RDSmfFjGNenEEj2izTJhWiCo6GIn2O0-YJYnsyu4Gt0kN_yFB4PBsX_omxoM6CgGnWYzF7gKAMZhXzZicUvqLk-P2CzsB8-9QSAK93RKohniYXXVzKF5AJZjDtJr2Cc5dvt7C5B0FKAJEDYZ39YQDKlkaHuDqqQHyZeTrhSmqQc8uW5jzNKZDJGHe62wGA&amp;type_route=efficient" TargetMode="External"/><Relationship Id="rId105" Type="http://schemas.openxmlformats.org/officeDocument/2006/relationships/hyperlink" Target="https://qualp.com.br/?data=4mhn1mFK0QTI-CA-dxWuN4yYvYadiaJ6oTgAoZqR2_MkM4AJ3ySdSK52KmFcfJ_7NAS__85BdouqJNLJ_j_Ue-M7XT1iWlXuzKTlmApTA8LrbDPgK9pPTnvNwwlAzCvS0ymbo9vcbU-4PwsXa6ZPNDhI1117-a5icJSOy5IViTnymF8GljrXtLyZ2jLCZhh62W7ZnzN7Qp160yPOb38WGblp3tPI-gkdTxW-B1v-4RGX0s_Jz09bQRXlb5Uvx7i_OMHkOqO2T_TyR9kBGapzQgebwriknaF7hqUyroldhhZ7S2hBhdP0Se-FOKlpF1SnCXuk3Lqnwf6HvICUQ1OertOna2nxiVvsM-Amxx_XX8ghVEQ1VVfAgGGqTKpuGt7zbyVAHiHW-l-n9JKYf4H8ph2zcD-nzp_wICzR4-9RIG3zl8bqxjZliBr9ttV9Y_ZDpi3JLk8Wlg3kD9eahT_UPZCk_q3m3YHUl9cpPMTv2OXK8-HqDeUtAkF1BeU8ixyAXC9UOv3bUXji47OP0LPJMdj2pdWOrHUGQWxhsCXOUptRwaoyiOtZMbHBvFjXi6Pu-Nw&amp;type_route=efficient" TargetMode="External"/><Relationship Id="rId126" Type="http://schemas.openxmlformats.org/officeDocument/2006/relationships/hyperlink" Target="https://qualp.com.br/?data=ZWBmVebP7Z5V05QKyYPRSJgvUFcJX0-cmw9G07sc70r53DPWwMuhsT0nfsUYYyOR55_is77tFwZ1uYu2QC7LqjU9V2INh580ymJKfWXyZY6Istz8YjnbNqW2sfclLuqqEZGvSOg_8ZwhoR6XqdUIEIKIVLGCNIdCzAyKdrQGKRLuDVmAyFW6DlaMva51KY-fnWwvznRQOJduX7S_BmuMQyg7fegvyUtRSQ-W76yO6V_g5A1l2sz8fCQyqMcKKDfnSv7l3YmYAMsGDGD796rhAQoQtKuJ6bzi7CY5L_Nykg0iinLvJzqCC6RBqCr-gVPJUamJua4lvxRRVWGHtX-EPYC9kgoZ-ywb4Uhzb8HJktQV6F1eN39Q5KEPPFEKQVRXtFZPdMUPQ04vFrAfoW0LgcKygmyGe7Nv4JfMJhJTLdiP9cZovizN-SaPB8wAGFnJSmh1cnBxszMTvL0fMByC-rcjvvcBFO6zRC0F9m23L3zXIOFU85KHFeZrUE9D6TLmU6Sh7U1FqSfllDwF8GgJCmik_knNubOBkUcyON7DH2KW2NII&amp;type_route=efficient" TargetMode="External"/><Relationship Id="rId147" Type="http://schemas.openxmlformats.org/officeDocument/2006/relationships/hyperlink" Target="https://qualp.com.br/?data=IFxPxfHZc8ffeJnvh6ufMbcNB2A2Uwau6LM2GKHWYrxqeu0XH8kXZIu_ydw7RK2H_VYKBy-ccjlomwKFBdA9RHtwiWbCOOtOoWKZG9shjKTqeL9IxAt1pafFo1iTqiPN4HGSPB8b1jeaS546rLZJxMGRTAHQBrvjTp96amMZucEwpie8hV6ssFDl50MOdcR2AlHOHbfpdTFfrxcYs5Qlp2blh730ffwRoPcu9TlCa1bCOBuS3Tvlj5cj0jYMpb0Yba8YWBgAyV4GaqZJF75FKqnvB_X2WbZ4GrZFjo2W8lusK6TOv5p8i5pUJ9Q12JqkHqH4kSK-45p9neblFDl4kh6lM5U5pKfz1qYqruVhbjpLQk2lfo5S8_rvDNDrykOvJ0pi4F3oT01sEFLoKFZltLpwxdHjYw-xOLMdiqh52R-b-qkwOVxVn7qXtvOiYKJyZwVkoqhrTPjEaMPp-JbwgKwqm1NOKD3IsLvcjw6AO6srpVTR-zq7mB3sj5RN1DaEexOmR4m3WahIrlx0fSEGG4BGZKfx4dLUJMx9yyAqpFycWypo&amp;type_route=efficient" TargetMode="External"/><Relationship Id="rId168" Type="http://schemas.openxmlformats.org/officeDocument/2006/relationships/hyperlink" Target="https://qualp.com.br/?data=0TTrpz28bmO-PZFnI3c_Y9zsITgM2vs_gIHfM4O5eOQmCpnlMj-ur_LIArq7ZTQm1wgydD59s8860fPFgZwnf-IPiEDwM8kaW6f8eUwl59TVeqBL6HDYz_u4q4Zx9EgJnnJtioFFcNpiMbjz8vqgw7YJ5pKpO-SBkMff1cWt8H3_lMuFmfSnejlLidhEg-hWVSmJbcl7MYBtFWyveukIruQfxmpwFH71fjgzzN4Fk0ziYdVUVcO3yWgsYIzmYhuRwqF5V9e_maC6Vqf418_SZa6IABGy1b-nKcaeFWLHtB6zPbTrbUpQKu-VHt-GlTH1US-Vzd-Ps5EzXRrtgE7oOZuNOrIp1MJvs-0FWw9gsSjKAR8P7e7cc9hjs-gRAzAzWqDJK5tIcZAtDIjELqNqkoKyNfxy4tOFib4p2pC0DUcXKN8ClS53ydYsTCLiB8Ii_Td1WkiqkQRKtW8H1aIwhuZEI4HLYoz0YrmW0-FxDKroplJOXIrKET65XD8qbEsl0Zpi6DJ_UVPBudnZJmGsPyJ68iz_dWPTUswoB7kHPtpiejElDY-itg&amp;type_route=efficient" TargetMode="External"/><Relationship Id="rId51" Type="http://schemas.openxmlformats.org/officeDocument/2006/relationships/hyperlink" Target="https://qualp.com.br/?data=9oitADNEUdYWhOL6i9M2laRYbrb5TzI0s7bBgUYZIrPIFwXmoD0pvQvbBYI4HMp31enmAWy26u8rkH1kc2CWNI8J-DG4o8P16MfjDeYYh6uuUX9OPt_0QF8qKVgJKhil7sHjrKVsSbRVwUVVqfV7BUQaucBZbOopzcuhmowAuMvD-01VnX-4qBUb8p8NCTzMui8CC-_FuaVNfLmSggQPY2HeFAJHn1xqzF9OMqktJOxVDPnA6aUp25nVS7oAV8rKxV2YNv_SY5cJz2RbgFU5hz-ZkvjQNsZ91bwKTNn2ijqfv26oS5ovqQwjutWYwbVEcGgqA_yGQ03izrMkzyoktg2mQJsq2L-P7PSjh04OXHIvrI2hAMQr-2dvhTZa0XqFu8pVDFd4k7AiHcsLzzu-tiwZkseuJomjpBjtaC8edOYiDtuPxlIQpNBjURR8vmGEtROIkPF5318OqUSbjUIuv3g6E-IgNU5UMHYhoHo4z9E8y6hnhqa_cjXmbbmbIaZjcCdz-a0w6wnNL-czVbSOK1N_zCUGGkKppSAzMmiR9UnGtWU&amp;type_route=efficient" TargetMode="External"/><Relationship Id="rId72" Type="http://schemas.openxmlformats.org/officeDocument/2006/relationships/hyperlink" Target="https://qualp.com.br/?data=DeiuzImatvREfI4GQda1EdS-2RrAXlvwwFXCQt9NCK_pB8lfkgFuSuzOMER59rVHfmHGR4f3OOfR9FDXX57l-_c-4xt9aGbQlPIzeKJXLzXRXdmuj15InKm10ofLziZQXVKMdkgjhRLtak10rVsgQ4ePdfiQ9TsRHFYRIfbi080Go2gvsRyzclQciFlW2IvtGVK2OwSoRwtZ92JT3mXUmSV5Y5TkrOSbv7CF-pfdJ4zNl5faW84nWlUP-QhOed6sKerB1qNBGilSsKUTfU084f9j46A9ffh7hIY1TfC6IZkQI1mYwSCLvwnxVEq1aVXUEKzm-tm5Dzgnf8L_IWWew6SJu12zZmYldEXnzAxqxMBwfSQ8SuQAdS02NbPXavmDh_TwwMaMmMj-KivwGKsQNfeI1acHY03HRIQNOu4IADttLzziUOXjzC2bUGOu9ysAnR7-LnQIdy3DcY-p9nNcSJEm-vJsAwD5q94vy_dtxZ5y_uAHW7gkY8CQ5fMR-tSb1diZgV1UNbfBR_Bu3oiJPgh8NUThxsxOToQo7XXvvjsIekds&amp;type_route=efficient" TargetMode="External"/><Relationship Id="rId93" Type="http://schemas.openxmlformats.org/officeDocument/2006/relationships/hyperlink" Target="https://qualp.com.br/?data=b1iGXxOLQ_qSGTqQL9K5FsgoB7PQ39j3iBKwvnSaKBJI9daHdlrIzgNdYDDFMe55A6WvCQwudqd_PNXuc9WqzeL8w0lDkL3QI7J4Jh2dXXyq2fsq-EVzeWiK_wNoM-_4M9PLTs5vRl0fRQPkNQLXG0hmtUckjjz_LL7HTD3e5SZ3_uXNdrUYzukp5qGG7uBVdYfUS0qFc1zNBXrJ6_qnBmciHIM5xS7i27ZXWfyapWOQIgT1Cdk7coZeSlNkN7IDA7wVzmUpMHd2ZJHDzB9ZPSph_JnWl_5D7V9-PAmi9NyV4gVZjSTlVpz2LFRuXxPUFPIaISyhBCWIyc2riCwOUTEIr410z3Jbvpzz1mhDMTnS2E0M5bj25YH6Pb2JyGvxjM_I37vje7oQJITJKk7a0tsB23aBx7f5QJWkc6qVjfJiidR7aToXyOjNggz3n-aRVl7EB8D_eimkCzgUs5ICTnXb6PEcoJx2QVPidjwSsFtokxMaa2No8HzBAEUnwaImviKaIdDXYaTd_9xTOTDfex53zgTT5znJH1OyipcwlzGTUQ&amp;type_route=efficient" TargetMode="External"/><Relationship Id="rId189" Type="http://schemas.openxmlformats.org/officeDocument/2006/relationships/hyperlink" Target="https://qualp.com.br/?data=dEj9Qi5FXBCc2P6IEpNtWzvZLWnsnAws2Pajcn5f9I9Pqer9TrwS34BHV7NUFmh1lbq2IG2yEYxiOza2IaNFWZCB5UkurJNWRgIzLGSrZJCoPENwCWkktMhso88CLWyK6qRIVhd1JvhVshMekRZIpQ6ZG7n89BFyVsbf_kQpVltJtjKEYAPQnksiShieU7VHKCgOkfj79y-TfTpalEWfgswlmVQa8SRosUqgbJvSlswPTBaOMHgAT5sLltYiUYMfZZ7p_L-1NooD8MZZt9QiwTKISVJm5gpJuXNxefAWb5xEZH_AdEmdIdpiYTamp5ECgXfLgFGi-qBvpr0oZ-CHMRDK-pQiruVgvvYr8qbdZgw2snUKrOoaKmGtfuS37c-QRo1kJvHorsfcPusRD-Ei7ax85BvNJR04YwqYb0k6fXvoIq2BK1hgwbOo8FszCPpVMTEibTFWZuNKTVO6BcQ0t8m-EA1L3HXLuzO0-uJZs2kDubKKobYR92iAoRtKrELtzNZf3Y-jWylei0WK7Xa6-4H6xiuybNAHoTGjnhuPUwC148lmpKsseTRT&amp;type_route=efficient" TargetMode="External"/><Relationship Id="rId3" Type="http://schemas.openxmlformats.org/officeDocument/2006/relationships/hyperlink" Target="https://qualp.com.br/?data=q9fK6Hg9JLN35a6_zZ7lWWrnm6pAD8lLvgsEWQe0a7n2ZvLV1cTM62QrbO2voXtu1soLMnz7EC3YQWSo9Bcm53f7JlAGVAlkimBDDlFXUy92YD4ze5AYPHLbQgWKjiSpTKzh8UVNG0EnhOt19hcp8rQbXKVFNRmK6KDpWbpkZrbXBtoUBu7wvEuzGv920yF4Dc3k-MicZdR7OQqOB3yQGOtKdqDubeIFpoRApWCCm7mndzK8SZAZMdk7Tj2cjbd0dzK27cgBSUozI7V42YUXaTxfuA_dyR9sq_BpdzKB2aczDgvGf2KQj-aBSqcnXeoAvRvgYS2C-ex9rRzRRuWYEGz3-xuX2tCMuOcpCZtCQGNfd6R0NBH_Gp1a7kLf1Wejd74ojVGWE1FZIQAek338kPDcAkCbk8UqzfxC-LnmZczP62aC9J5ov_igC6EaoafnzwRoQWIyf52DQrvWz2b52CEZ4NKrF0BIZuH-WC3e9q1LF58vEHp38GYPonKtVuW0mUBwbff96yB7AsgGfQ9jxiT8CMIHbvv9_3Vy52TQGp6fS8S4EM1XO5EpWMtGwVlpNysvZ_7E_AZi&amp;type_route=efficient" TargetMode="External"/><Relationship Id="rId214" Type="http://schemas.openxmlformats.org/officeDocument/2006/relationships/hyperlink" Target="https://qualp.com.br/?data=adBpu0zWKM45pYc61B54UHW9WDsA3MAwiNoP9vREKq8K6detlFsIue0hIlsyKEQm12mnEF_GMj3NvAoATs2s31wugaaB-nNOa-ckn-Bwl88lHNahfFaTjFEUu3-p8nZNaBZ0x6dgGGxCbyDBXgFDgVTh4N2r-9skM9zu9jdoI0SSXFUCZdI_agzQRk7ZnAF7x2lu_AoxyE0jvaOa-P3L0kgVBTC58UXT70KiQUf9SP83Mg-Z49ISXgo1qzUSrxmMLECLo75k_8AaDKX-LBvILTLdcPiVKQOILHTBp7IZ5Fk6kkOJG5JZ_NXWDQr120cVi8ug32pwrM1fnFxAlfCuFBIrfNuh908q9rED6pojWKTMvuG6lHKJbTZoNh0NRzn7T7o6IBad56X6xH83zRVDOC9H4BdkQDxD1bnLowhAVw2WsqsyITwtZ4QEorpjOhYLBxRdPxfH_BQNF5Ynh1-wuTnSxe0wcakbRpA2ZRVr4PykgWLGOluqusslTqXsmeAOrYJNuuuDWXwoISyWyznzs9rWdgD9lmAd9z3xrrF0DuZODKoZI016PSI7QRUTunaFwq5N&amp;type_route=efficient" TargetMode="External"/><Relationship Id="rId235" Type="http://schemas.openxmlformats.org/officeDocument/2006/relationships/hyperlink" Target="https://qualp.com.br/?data=V1hWE0qQheBAn7qmBa_2bhJI3d3K0z46BZoG_Kzoci_VjZ1-0PGtLNr-CGDSC4LX1XSaR3BVBR8UjcVROXyE_mBcZqQP51RskRIO_sBknrgAbkAnd4dJscE8_If9Q6b2LVgRrrzoM1kw29wS5pMqIR5E2IAYZXPXHJKU3cFO2pfDAltw43hcB7nmW47zHERnCmNoQ3P8s55AI7N494jn7ZQSebNBXEMPksrFRwS1JxWkKMq6Bb7ucAFh_nPBTBFpy8aui_rG5OjNPRBXne2VD2OrSqE4uCumwZf9cb7OLhCwbDSBrTm-_VD3XmZdff_tmxn8GgQXi0QgDeGJ4uor8sG1TP1ccWVCigC2B0v0rDnjwNLiB1UsLyVyyRI11yMQ8CnYb6w2_H503oQC9yr7OEjha_XNwRiNCMjUmWMpPRrv58SoMniRCEOwdm-GVo3xGFaFX7hPn83Juq2EHRXJrvMirENDov5Zgspo9oVtSC6JE0f6s3KkEWMbG4Lzxl4YSVAAg7ShlsMVftcK4_p-8JY59qb-pGRjm-KdVJXDtpcS_ec&amp;type_route=efficient" TargetMode="External"/><Relationship Id="rId116" Type="http://schemas.openxmlformats.org/officeDocument/2006/relationships/hyperlink" Target="https://qualp.com.br/?data=-Ot_0LXEGfPglvbxnP4TF0uMyZqwkVlmUeouuKZN1Mv9R_I69AMWmwhk6ps9pH8N--gr23eqEyD0qQaIkG4uoFCBq-Q_5hPyjj3VA9k--i4eRE5r3ZnfB_hqIaRzoWUO5_CYFoxl2Eq4WaY6g8OYOwn4YT_g4URzeeKuMBNl0Nj506UpahHI8u8lM_zwS-knRpq4o9p_QY-YJYOCwM0k1CEURrLrcq4IcEDxSMlnweIFTQnZgvYCDYInkXUhmyb3yReB8f2ZIpIUhgZTd9q-vkItQxECdRAtz-BrcHUYN_0skIaJeOwVkwnZci86t6XRHJIku7Tf0exfdm96eg0H5zi96oamCWH4FJxcQZ5VltzSfv07yDThPkWdW60WFvu8MWE9haio2qIFUseZV-bA03j73HHbZYYKzytBlj1tU6y8HEJZXFSXbgc1Og2V0Y4Rh_mTkcNAIe3LqRfrzbDaanziJ7r3qRCG38SNt1IFh1VGM-uHVuXu4msAPnVbET7vSdjBxPufRRIO_XZtNQP_5ndCr71MQguGX8HW_67SbQ8Hy-VvDlbEtWI&amp;type_route=efficient" TargetMode="External"/><Relationship Id="rId137" Type="http://schemas.openxmlformats.org/officeDocument/2006/relationships/hyperlink" Target="https://qualp.com.br/?data=dtPNGMN-yP0eOl462YLZjDi7YOjcn5ye3HTM04cU2OyF9nzm8cRctbVBxN1ewA31CQLsVoPlAF3oZi_zSg-9OThvbov9XsXth7UhBgr7Gx8WF0EGXWNwVVtIXbDgMr5R0vtHgBJ-qYNBgaZpYaYsv_W711CP6D8kmBxs4qBdFmHLKM0RS8I530kwp7JM5DP673Oh8W9N9i5KrWkn1NUNMtWxP3x8yTq6dtxtxmxBRMDgzEaH-CKi0-hjZ0UXYcclTGewG-ZnhfpY0LDNMNTQahbvCJfDOwum9MizUdcpsAUvVasHWaOJeZUIqQSXI6QNyj_JPJ6oRmDqfT94VNBo3kcmm_dKw29qe2PL649WE3VLGhAoqjOdFnEUIB_7EydyxRNTP9YDEeHHcqjudXau6K9EUNkisctNOTQj2guWlvmSQqehG83Qmob3l3mTxObOAFtM4OgaNw_ZfRT9A-vzahld2xSdp4XPKp0Ttfp8v1qXLjF-lsggXMAiKeIUuY3uo8w_rSQsDuflUR-D9QOt643CW-43tTtKuUTRoeVjHhMWk0qesQ&amp;type_route=efficient" TargetMode="External"/><Relationship Id="rId158" Type="http://schemas.openxmlformats.org/officeDocument/2006/relationships/hyperlink" Target="https://qualp.com.br/?data=tAmXNcxRiqG7qWvkaxv5kvcLHh-h8DbNi1iMHQhvryYVswl7WS4b_x_UlrxB88U4uIOUGbdZPnYo9iuwZrfmrdDLRgouO_45LwqNoyEC5TSY2GfTgssamxCV4g6wSU7m0TIiKOyduG0lLK-1Sgz_B4MfTwpRiWGpsZxEZWCkx_BcX-MgHNV1k6PfuO02v_cPKCP_cif-R3Kc0owHOUmgQc4lkXaZE4i9Uj4q0EclO8JsV0zYHL-LmGykfPeYMTXz0ZGQDhVlFnPozoSr4bSCNv5StrIOSnLWa9mzPWleLZC0uDw9s5Cr27R99yOYHbUCMG-ARxGs815BuT1NRHEmSpGBGWDsJ9GXmeaJGAp3Bv3R1qu-TsYmUmvmPUoB_cb5V0HQN1CDZ5NQ-9Lb8wvXYjG4Y9r1Aq8O9p_Ml1_9r5cBu_J3dZ5_RHXx-Idl0X7JXEakzEq6ah0qRm0ORa6knhf0xkDqPnxObcleAEuIrmdfAcK8lfjUy6ZasCRhaRD22cnEcR2BSP9eB3EacMlKRfW07VDD5KScftThulDq0A68n77RJV_lWw&amp;type_route=efficient" TargetMode="External"/><Relationship Id="rId20" Type="http://schemas.openxmlformats.org/officeDocument/2006/relationships/hyperlink" Target="https://qualp.com.br/?data=AD4d7W7lz-IzVuNAQWW7ifzTPMuATc8uNLUwsf-fOrcmZK5gRg1EWwuMQNbSrm4lgwSlOjlORIekT1TFdnc1ewwOF5YMu0bsj6EC03l-r1K-XY3ZX0TOYwG-ScqYgwZp5TyO7kvTnVEZbwtZNBj6PuWKtjw4ASRzHNi8dDUfsiYpWlgFbTvcbeFS44K8iA41ZV9kzyRh04jwtlFq3tR2AsPjjedDvgFkxXpduiRwhnijlNVhNeAYEHO2PSt2UWdIQI5U12950K-e4ftNe0enrBIhVVSFJLhWeK6E30A8xunkQU-OxKt3nmYRq_d-82z-QyC_lbhf3LwN6flvNuKFUmqlLopQEeLAbPA9dwjqRN9QdB4rA6FS4_UM3kCiMaEGYmlqpZo_-kl7rjVzwH4XESHUy9eNCvrcHm4Tx38fHpDWVLamMkZiKgYv2HMEBrCBBAAmCyrshbnPed3hkOU7JcX_jmVe0e8V_DnRogqsC5fHnMCNoHT67DO8yY1LqUhhH_ZbvLTIxNDqWURibSXrXn_w0YBwSMmYNjIJtGmGkiPI5C0PN9EPUwP6dhYwFylOMjIc&amp;type_route=efficient" TargetMode="External"/><Relationship Id="rId41" Type="http://schemas.openxmlformats.org/officeDocument/2006/relationships/hyperlink" Target="https://qualp.com.br/?data=cJqvUljXwDposzAZG6xii9b5-KnhXsUGl2RavEt-PEp6el4bGjz1eOgJGWrdNsisxlpc4e9052Vx5wySwHg_CvK1jSl9xGQl6F46RmFDEp_flMG0vt5ZY9iJaoqSPgYlS0iS-FZaJO5fL1rRkSqCsK4WJXagucjccSALM_c3QEBnZ94m13lVzEdXaI_x28seiKg8-7XZ2t2bR7znujGlEfVgpeXtAP2E242Riz4PqlLy61bHKh-1u07eeoSvi7CTJdH2RF8hnU-Q86dXPkxooRKvUwC7wTu2LJ6vEHcWmlxtvLpJgF4tERRJzMiqHiZhp8OwdHmY0EsnqQZx909iql31Pnm8E5ADygj73k35ataYk_BJ0NRrjyO1OmBedBx-1Ci_8Heh6ThXyp_k6Ikr94f97yM4eVltjso1n3XFtDzOWFOURAA5H_leH_0N4NmhyJCFyqN8CIq98xMS5OBIixW1eixJPUNZ01fpf_wtovzVtHeM3s-ZZ0FYHGaJnzq5kPqZDv_wBn9wOTJSLiROGX2w5VY3PXkVnBNdB4QgDG1d-uLdDq7av4JvwEL-u69ulU4&amp;type_route=efficient" TargetMode="External"/><Relationship Id="rId62" Type="http://schemas.openxmlformats.org/officeDocument/2006/relationships/hyperlink" Target="https://qualp.com.br/?data=vCmaaNC6BY7AqschZ8_JFWOMit4WOJ0Z-OrbnIgeSc0UyZVBIbr5uJnLVNnrX-Wyyxs0ALy9wKlWL0uWKXvOts104-6Y8l9KzvNwzapPVLmhpBwbjzek1_YnLmaZAxJfc9ppJPitna8wKrgvFbao1am9wzwxziTKYhk8eQPjGx3S4tFUCyi-VyTgvE7QXBtF700_r15_fdXSeQHlUgm3-Qbns1Yuvsp31y_OPlxeKlEDx4GB_bgivBK0UphWOpwkZrMYCfe3Qxdipr1or1bnQ5NwVFd530eyDjLVAiKRLDd4CQ1FtcAP3rOOH3-qVRy5GNrRzIoU2_-VIMPERot10vj-dIxVRrzjuMGjW3x4_Jk_4MIeOKXf_pXFmcomENWnCHaqsfZFfNJ6e9f-mty09dXTD_AmaJVxlg_no0M1uXIMf54bByOFinhqMQkeyNfWqiE9zvwV5H79eXWAfxEONLMja9U8Bdp-evhXOjARk4fIv_P-qUmGaJNgsUyKR0qkvAb4Iy_WQqsucUh-epvr_0HdY4TANaP8r68p83FIaSL7OY69v7GP&amp;type_route=efficient" TargetMode="External"/><Relationship Id="rId83" Type="http://schemas.openxmlformats.org/officeDocument/2006/relationships/hyperlink" Target="https://qualp.com.br/?data=Tv64vo746exOSkIx4RaJeFKqA-Gr9e-oHu-PfL49Lu8nIZHrSvI7Cu3Q0uhZoTZAufkkxDahOkiIb32-OfhV68H7Jv961qFKi_EzAx5u2Sm_qids7iuzBFauGGI8Gpvl8aUAMI6juRqjSYiLRIyVu9H2XmOkoNd0Cea7W3ZoUtbJJBJCSOtuU0D65hERXuMvOrYcNpVHriUkh1ULv51swcVvXKsfKNwTpPOPaGK77-jzcTX0N3Xi-_L3-ek1jE0pCVIqJnCYC55Zw_tAYKJYUe8YugE8rKRrJJHYA70t56D7Kp-biPseswf7DhsQmIll0NjXgFZjwQxtJh7XRAEiFRyon0OgrmDzGRJRZwVyqaw1REFJSrE6GhdJ-oddsn74kUi_y9bqITUz28teaIMZS3jm5HsKfpInrONN534J6oCX9aPV_IZLWB2sICovcu4hEF5Kpyhyv8z2z1gpF1lomqAZH9f-xpBrAIGcsu_urADih1FQOzN1dQvanL0YTEos3jUEIhmzDx7tZUtsmy_0TqZzONN3-tZYOuP1ImUiqE7MfCGEXc7Y&amp;type_route=efficient" TargetMode="External"/><Relationship Id="rId179" Type="http://schemas.openxmlformats.org/officeDocument/2006/relationships/hyperlink" Target="https://qualp.com.br/?data=A438iWc_evfeXaQbqIhASm6LP3igDWngT9u9t9EHXZFgVw9R-n43N1oTQUw0lmWFbv_XaEexi-ldmF1Dv9DLRtfRwLXv9k0tNSK6jCrwdzt_elJ5zGLmgqkHyR4ZiJrUUBahL0_orgmXksKwsqMJPWmG6tAduQKCKPP1T34224Oa94AtXZ_JKGtLJurDt7Q49PLd-T5PWfXUkhzRr3NPxGlCIgLeWjfZGp9mc3SKzxFX614E-okqI09_zal85a6a2nUQGYEx_E2to-OtUrC96H7MsEEkh1fVRmRLE7kFFMHitIEzghObo6hQB4GcS8kwT-txo_R9rfvPHuy8IK5eXAUdYdX6i9FjCJrYUJHfF2zXYXBZUdIdRABsOLZ6eFaKbNkTU68wyrpgl34RjHo3WA6O4zY6uk43crgP-A6P12GhVIEtq0s0G7J5fc9DNxA3y2hoHO8HgXAnML3D_Kx9u7f8FVyLZwItFjzCLNqOJ0xo49i-dNb1m3BBfpqPNwwdsF3Vs_lblXVUIbCKhsY0KJEdnQ-t1uQk5j5JcGeGcA_6q7xzkR3k&amp;type_route=efficien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0E75-3D80-4181-B5CA-B9FAC74138A5}">
  <sheetPr codeName="Planilha1"/>
  <dimension ref="A1:AJ82"/>
  <sheetViews>
    <sheetView tabSelected="1" topLeftCell="E1" zoomScale="80" zoomScaleNormal="80" workbookViewId="0">
      <selection activeCell="X13" sqref="X13"/>
    </sheetView>
  </sheetViews>
  <sheetFormatPr defaultColWidth="8.88671875" defaultRowHeight="15" customHeight="1" x14ac:dyDescent="0.3"/>
  <cols>
    <col min="1" max="1" width="21.6640625" style="25" customWidth="1"/>
    <col min="2" max="2" width="8.6640625" style="25" customWidth="1"/>
    <col min="3" max="3" width="14.88671875" style="25" customWidth="1"/>
    <col min="4" max="4" width="22.88671875" style="25" bestFit="1" customWidth="1"/>
    <col min="5" max="5" width="40.44140625" style="25" bestFit="1" customWidth="1"/>
    <col min="6" max="6" width="12.33203125" style="26" customWidth="1"/>
    <col min="7" max="7" width="9.6640625" style="26" customWidth="1"/>
    <col min="8" max="8" width="13.44140625" style="25" customWidth="1"/>
    <col min="9" max="9" width="21.88671875" style="27" customWidth="1"/>
    <col min="10" max="10" width="16.109375" style="28" bestFit="1" customWidth="1"/>
    <col min="11" max="11" width="16.44140625" style="25" customWidth="1"/>
    <col min="12" max="12" width="11.33203125" style="25" customWidth="1"/>
    <col min="13" max="13" width="16" style="25" bestFit="1" customWidth="1"/>
    <col min="14" max="14" width="16" style="109" customWidth="1"/>
    <col min="15" max="15" width="18.33203125" style="27" customWidth="1"/>
    <col min="16" max="16" width="18.33203125" style="96" customWidth="1"/>
    <col min="17" max="17" width="16.44140625" style="25" customWidth="1"/>
    <col min="18" max="18" width="12.33203125" style="22" customWidth="1"/>
    <col min="19" max="19" width="16" style="29" bestFit="1" customWidth="1"/>
    <col min="20" max="20" width="10.6640625" style="22" bestFit="1" customWidth="1"/>
    <col min="21" max="21" width="10.6640625" style="22" customWidth="1"/>
    <col min="22" max="22" width="23.33203125" style="22" bestFit="1" customWidth="1"/>
    <col min="23" max="23" width="14.88671875" style="22" bestFit="1" customWidth="1"/>
    <col min="24" max="24" width="10.6640625" style="22" customWidth="1"/>
    <col min="25" max="25" width="10.44140625" style="22" bestFit="1" customWidth="1"/>
    <col min="26" max="26" width="10.44140625" style="22" customWidth="1"/>
    <col min="27" max="27" width="8.88671875" style="22" customWidth="1"/>
    <col min="28" max="28" width="13.33203125" style="22" customWidth="1"/>
    <col min="29" max="30" width="12.88671875" style="22" customWidth="1"/>
    <col min="31" max="31" width="2.88671875" style="22" customWidth="1"/>
    <col min="32" max="32" width="14" style="22" customWidth="1"/>
    <col min="33" max="35" width="12.88671875" style="22" customWidth="1"/>
    <col min="36" max="16384" width="8.88671875" style="22"/>
  </cols>
  <sheetData>
    <row r="1" spans="1:36" ht="43.2" x14ac:dyDescent="0.3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6" t="s">
        <v>5</v>
      </c>
      <c r="G1" s="76" t="s">
        <v>6</v>
      </c>
      <c r="H1" s="76" t="s">
        <v>7</v>
      </c>
      <c r="I1" s="77" t="s">
        <v>8</v>
      </c>
      <c r="J1" s="76" t="s">
        <v>9</v>
      </c>
      <c r="K1" s="77" t="s">
        <v>10</v>
      </c>
      <c r="L1" s="77" t="s">
        <v>11</v>
      </c>
      <c r="M1" s="77" t="s">
        <v>12</v>
      </c>
      <c r="N1" s="90" t="s">
        <v>13</v>
      </c>
      <c r="O1" s="77" t="s">
        <v>14</v>
      </c>
      <c r="P1" s="90" t="s">
        <v>15</v>
      </c>
      <c r="Q1" s="75" t="s">
        <v>16</v>
      </c>
      <c r="R1" s="75" t="s">
        <v>17</v>
      </c>
      <c r="S1" s="76" t="s">
        <v>18</v>
      </c>
      <c r="T1" s="105" t="s">
        <v>19</v>
      </c>
      <c r="U1" s="36">
        <v>6</v>
      </c>
      <c r="V1" s="98" t="s">
        <v>20</v>
      </c>
      <c r="W1" s="99">
        <f ca="1">Tabela1[[#Totals],[RESULTADO]]</f>
        <v>202319.2438575562</v>
      </c>
      <c r="X1" s="36"/>
      <c r="Y1" s="36"/>
      <c r="Z1" s="110" t="s">
        <v>21</v>
      </c>
      <c r="AA1" s="110">
        <f ca="1">DAY(TODAY())</f>
        <v>13</v>
      </c>
      <c r="AB1" s="75" t="s">
        <v>22</v>
      </c>
      <c r="AC1" s="75" t="s">
        <v>23</v>
      </c>
      <c r="AD1" s="75" t="s">
        <v>24</v>
      </c>
      <c r="AE1" s="82"/>
      <c r="AF1" s="75" t="s">
        <v>25</v>
      </c>
      <c r="AG1" s="75" t="s">
        <v>26</v>
      </c>
      <c r="AH1" s="75" t="s">
        <v>27</v>
      </c>
      <c r="AI1" s="36"/>
      <c r="AJ1" s="36"/>
    </row>
    <row r="2" spans="1:36" ht="15.6" x14ac:dyDescent="0.3">
      <c r="A2" s="68" t="s">
        <v>28</v>
      </c>
      <c r="B2" s="68">
        <v>2020</v>
      </c>
      <c r="C2" s="69" t="s">
        <v>29</v>
      </c>
      <c r="D2" s="69" t="s">
        <v>30</v>
      </c>
      <c r="E2" s="69" t="str">
        <f>IFERROR(_xlfn.XLOOKUP(Tabela1[[#This Row],[PLACA]],'Telemetria Sighra'!F:F,'Telemetria Sighra'!T:T),"NÃO EMBARCADO")</f>
        <v>MARCELO DE JESUS ARAUJO - 118</v>
      </c>
      <c r="F2" s="43" cm="1">
        <f t="array" ref="F2">SUMPRODUCT((ISNUMBER(FIND(C2,Faturamento!$F$2:$F$1014)))*(Faturamento!$AA$2:$AA$1014))</f>
        <v>0</v>
      </c>
      <c r="G2" s="43">
        <f>Tabela1[[#This Row],[HODÔMETRO]]-Tabela1[[#This Row],[KM CARREGADO]]</f>
        <v>5156.5100000000093</v>
      </c>
      <c r="H2" s="70">
        <f>_xlfn.XLOOKUP(C2,'Telemetria Sighra'!F:F,'Telemetria Sighra'!R:R,0)</f>
        <v>5156.5100000000093</v>
      </c>
      <c r="I2" s="71">
        <f>SUMIF(Faturamento!AC:AC,C2,Faturamento!T:T)</f>
        <v>0</v>
      </c>
      <c r="J2" s="79" cm="1">
        <f t="array" ref="J2">SUMPRODUCT((ISNUMBER(FIND(C2,Faturamento!$F$2:$F$1014)))*(Faturamento!$R$2:$R$1014))</f>
        <v>0</v>
      </c>
      <c r="K2" s="72">
        <f ca="1">$AH$2/30*$AA$1</f>
        <v>9479.7957222222212</v>
      </c>
      <c r="L2" s="72">
        <v>4.4694000000000003</v>
      </c>
      <c r="M2" s="72">
        <v>40000</v>
      </c>
      <c r="N2" s="91">
        <f ca="1">Tabela1[[#This Row],[RESULTADO]]/Tabela1[[#This Row],[EBITDA ESTIMADO]]</f>
        <v>-0.81315753790555667</v>
      </c>
      <c r="O2" s="72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-32526.301516222265</v>
      </c>
      <c r="P2" s="91" t="str">
        <f ca="1">IFERROR(Tabela1[[#This Row],[RESULTADO]]/Tabela1[[#This Row],[FATURAMENTO]],"-")</f>
        <v>-</v>
      </c>
      <c r="Q2" s="73">
        <f>IFERROR(I2/H2,"-")</f>
        <v>0</v>
      </c>
      <c r="R2" s="74">
        <f>_xlfn.XLOOKUP(C2,'Telemetria Sighra'!F:F,'Telemetria Sighra'!S:S,0)</f>
        <v>1.8454744240810528</v>
      </c>
      <c r="S2" s="43">
        <f>_xlfn.XLOOKUP(Tabela1[[#This Row],[PLACA]],'Telemetria Sighra'!F:F,'Telemetria Sighra'!I:I,0)</f>
        <v>2794.23</v>
      </c>
      <c r="T2" s="104">
        <f>IFERROR((Tabela1[[#This Row],[LITROS CONSUMIDOS]]*$U$1)/Tabela1[[#This Row],[HODÔMETRO]],"-")</f>
        <v>3.2513036918380784</v>
      </c>
      <c r="U2" s="36"/>
      <c r="V2" s="98" t="s">
        <v>31</v>
      </c>
      <c r="W2" s="100">
        <f>SUMIF(Faturamento!AB:AB,"SUBCONTRATADO",Faturamento!T:T)*0.3</f>
        <v>38271.891000000003</v>
      </c>
      <c r="X2" s="36"/>
      <c r="Y2" s="36"/>
      <c r="Z2" s="111"/>
      <c r="AA2" s="111"/>
      <c r="AB2" s="81">
        <v>37311.230000000003</v>
      </c>
      <c r="AC2" s="81">
        <f>230183.45/12</f>
        <v>19181.954166666666</v>
      </c>
      <c r="AD2" s="81">
        <f>AB2-AC2</f>
        <v>18129.275833333337</v>
      </c>
      <c r="AE2" s="83"/>
      <c r="AF2" s="81">
        <v>45740.36</v>
      </c>
      <c r="AG2" s="81">
        <f>286366.9/12</f>
        <v>23863.908333333336</v>
      </c>
      <c r="AH2" s="81">
        <f>AF2-AG2</f>
        <v>21876.451666666664</v>
      </c>
      <c r="AI2" s="36"/>
      <c r="AJ2" s="36"/>
    </row>
    <row r="3" spans="1:36" ht="15.6" x14ac:dyDescent="0.3">
      <c r="A3" s="37" t="s">
        <v>32</v>
      </c>
      <c r="B3" s="37">
        <v>2021</v>
      </c>
      <c r="C3" s="38" t="s">
        <v>33</v>
      </c>
      <c r="D3" s="38" t="s">
        <v>34</v>
      </c>
      <c r="E3" s="38" t="str">
        <f>IFERROR(_xlfn.XLOOKUP(Tabela1[[#This Row],[PLACA]],'Telemetria Sighra'!F:F,'Telemetria Sighra'!T:T),"NÃO EMBARCADO")</f>
        <v>JEFFERSON APARECIDO DE LIMA - 10857</v>
      </c>
      <c r="F3" s="44" cm="1">
        <f t="array" ref="F3">SUMPRODUCT((ISNUMBER(FIND(C3,Faturamento!$F$2:$F$1014)))*(Faturamento!$AA$2:$AA$1014))</f>
        <v>0</v>
      </c>
      <c r="G3" s="44">
        <f>Tabela1[[#This Row],[HODÔMETRO]]-Tabela1[[#This Row],[KM CARREGADO]]</f>
        <v>1342.8699999999953</v>
      </c>
      <c r="H3" s="39">
        <f>_xlfn.XLOOKUP(C3,'Telemetria Sighra'!F:F,'Telemetria Sighra'!R:R,0)</f>
        <v>1342.8699999999953</v>
      </c>
      <c r="I3" s="71">
        <f>SUMIF(Faturamento!AC:AC,C3,Faturamento!T:T)</f>
        <v>0</v>
      </c>
      <c r="J3" s="80" cm="1">
        <f t="array" ref="J3">SUMPRODUCT((ISNUMBER(FIND(C3,Faturamento!$F$2:$F$1014)))*(Faturamento!$R$2:$R$1014))</f>
        <v>0</v>
      </c>
      <c r="K3" s="40">
        <f ca="1">$AH$2/30*$AA$1</f>
        <v>9479.7957222222212</v>
      </c>
      <c r="L3" s="40">
        <v>4.4694000000000003</v>
      </c>
      <c r="M3" s="40">
        <v>39990</v>
      </c>
      <c r="N3" s="92">
        <f ca="1">Tabela1[[#This Row],[RESULTADO]]/Tabela1[[#This Row],[EBITDA ESTIMADO]]</f>
        <v>-0.38713725681975997</v>
      </c>
      <c r="O3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-15481.618900222202</v>
      </c>
      <c r="P3" s="92" t="str">
        <f ca="1">IFERROR(Tabela1[[#This Row],[RESULTADO]]/Tabela1[[#This Row],[FATURAMENTO]],"-")</f>
        <v>-</v>
      </c>
      <c r="Q3" s="41">
        <f>IFERROR(I3/H3,"-")</f>
        <v>0</v>
      </c>
      <c r="R3" s="42">
        <f>_xlfn.XLOOKUP(C3,'Telemetria Sighra'!F:F,'Telemetria Sighra'!S:S,0)</f>
        <v>1.7216830553454443</v>
      </c>
      <c r="S3" s="44">
        <f>_xlfn.XLOOKUP(Tabela1[[#This Row],[PLACA]],'Telemetria Sighra'!F:F,'Telemetria Sighra'!I:I,0)</f>
        <v>780.01</v>
      </c>
      <c r="T3" s="104">
        <f>IFERROR((Tabela1[[#This Row],[LITROS CONSUMIDOS]]*$U$1)/Tabela1[[#This Row],[HODÔMETRO]],"-")</f>
        <v>3.485117695681649</v>
      </c>
      <c r="U3" s="36"/>
      <c r="V3" s="9" t="s">
        <v>14</v>
      </c>
      <c r="W3" s="102">
        <f ca="1">W1+W2</f>
        <v>240591.1348575562</v>
      </c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</row>
    <row r="4" spans="1:36" ht="15.6" x14ac:dyDescent="0.3">
      <c r="A4" s="37" t="s">
        <v>32</v>
      </c>
      <c r="B4" s="37">
        <v>2024</v>
      </c>
      <c r="C4" s="38" t="s">
        <v>35</v>
      </c>
      <c r="D4" s="38" t="s">
        <v>34</v>
      </c>
      <c r="E4" s="38" t="str">
        <f>IFERROR(_xlfn.XLOOKUP(Tabela1[[#This Row],[PLACA]],'Telemetria Sighra'!F:F,'Telemetria Sighra'!T:T),"NÃO EMBARCADO")</f>
        <v>ORVITO ANDERLE - 217</v>
      </c>
      <c r="F4" s="44" cm="1">
        <f t="array" ref="F4">SUMPRODUCT((ISNUMBER(FIND(C4,Faturamento!$F$2:$F$1014)))*(Faturamento!$AA$2:$AA$1014))</f>
        <v>0</v>
      </c>
      <c r="G4" s="44">
        <f>Tabela1[[#This Row],[HODÔMETRO]]-Tabela1[[#This Row],[KM CARREGADO]]</f>
        <v>1018.1900000000023</v>
      </c>
      <c r="H4" s="39">
        <f>_xlfn.XLOOKUP(C4,'Telemetria Sighra'!F:F,'Telemetria Sighra'!R:R,0)</f>
        <v>1018.1900000000023</v>
      </c>
      <c r="I4" s="71">
        <f>SUMIF(Faturamento!AC:AC,C4,Faturamento!T:T)</f>
        <v>0</v>
      </c>
      <c r="J4" s="80" cm="1">
        <f t="array" ref="J4">SUMPRODUCT((ISNUMBER(FIND(C4,Faturamento!$F$2:$F$1014)))*(Faturamento!$R$2:$R$1014))</f>
        <v>0</v>
      </c>
      <c r="K4" s="40">
        <f ca="1">$AH$2/30*$AA$1</f>
        <v>9479.7957222222212</v>
      </c>
      <c r="L4" s="40">
        <v>4.4694000000000003</v>
      </c>
      <c r="M4" s="40">
        <v>39990</v>
      </c>
      <c r="N4" s="92">
        <f ca="1">Tabela1[[#This Row],[RESULTADO]]/Tabela1[[#This Row],[EBITDA ESTIMADO]]</f>
        <v>-0.3508500652218613</v>
      </c>
      <c r="O4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-14030.494108222232</v>
      </c>
      <c r="P4" s="92" t="str">
        <f ca="1">IFERROR(Tabela1[[#This Row],[RESULTADO]]/Tabela1[[#This Row],[FATURAMENTO]],"-")</f>
        <v>-</v>
      </c>
      <c r="Q4" s="41">
        <f>IFERROR(I4/H4,"-")</f>
        <v>0</v>
      </c>
      <c r="R4" s="42">
        <f>_xlfn.XLOOKUP(C4,'Telemetria Sighra'!F:F,'Telemetria Sighra'!S:S,0)</f>
        <v>1.5921229556896712</v>
      </c>
      <c r="S4" s="44">
        <f>_xlfn.XLOOKUP(Tabela1[[#This Row],[PLACA]],'Telemetria Sighra'!F:F,'Telemetria Sighra'!I:I,0)</f>
        <v>639.58000000000004</v>
      </c>
      <c r="T4" s="104">
        <f>IFERROR((Tabela1[[#This Row],[LITROS CONSUMIDOS]]*$U$1)/Tabela1[[#This Row],[HODÔMETRO]],"-")</f>
        <v>3.7689232854378769</v>
      </c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</row>
    <row r="5" spans="1:36" ht="15.6" x14ac:dyDescent="0.3">
      <c r="A5" s="37" t="s">
        <v>32</v>
      </c>
      <c r="B5" s="37">
        <v>2024</v>
      </c>
      <c r="C5" s="38" t="s">
        <v>36</v>
      </c>
      <c r="D5" s="38" t="s">
        <v>37</v>
      </c>
      <c r="E5" s="38" t="str">
        <f>IFERROR(_xlfn.XLOOKUP(Tabela1[[#This Row],[PLACA]],'Telemetria Sighra'!F:F,'Telemetria Sighra'!T:T),"NÃO EMBARCADO")</f>
        <v>PAULO ROBERTO EVANGELISTA SOARES - 255</v>
      </c>
      <c r="F5" s="44" cm="1">
        <f t="array" ref="F5">SUMPRODUCT((ISNUMBER(FIND(C5,Faturamento!$F$2:$F$1014)))*(Faturamento!$AA$2:$AA$1014))</f>
        <v>430</v>
      </c>
      <c r="G5" s="44">
        <f>Tabela1[[#This Row],[HODÔMETRO]]-Tabela1[[#This Row],[KM CARREGADO]]</f>
        <v>1702.4400000000023</v>
      </c>
      <c r="H5" s="39">
        <f>_xlfn.XLOOKUP(C5,'Telemetria Sighra'!F:F,'Telemetria Sighra'!R:R,0)</f>
        <v>2132.4400000000023</v>
      </c>
      <c r="I5" s="71">
        <f>SUMIF(Faturamento!AC:AC,C5,Faturamento!T:T)</f>
        <v>6300.07</v>
      </c>
      <c r="J5" s="80" cm="1">
        <f t="array" ref="J5">SUMPRODUCT((ISNUMBER(FIND(C5,Faturamento!$F$2:$F$1014)))*(Faturamento!$R$2:$R$1014))</f>
        <v>124316</v>
      </c>
      <c r="K5" s="40">
        <f ca="1">$AH$2/30*$AA$1</f>
        <v>9479.7957222222212</v>
      </c>
      <c r="L5" s="40">
        <v>4.4694000000000003</v>
      </c>
      <c r="M5" s="40">
        <v>69761</v>
      </c>
      <c r="N5" s="92">
        <f ca="1">Tabela1[[#This Row],[RESULTADO]]/Tabela1[[#This Row],[EBITDA ESTIMADO]]</f>
        <v>-0.18219998363300743</v>
      </c>
      <c r="O5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-12710.453058222232</v>
      </c>
      <c r="P5" s="92">
        <f ca="1">IFERROR(Tabela1[[#This Row],[RESULTADO]]/Tabela1[[#This Row],[FATURAMENTO]],"-")</f>
        <v>-2.0175098146881276</v>
      </c>
      <c r="Q5" s="41">
        <f>IFERROR(I5/H5,"-")</f>
        <v>2.9543949653917543</v>
      </c>
      <c r="R5" s="42">
        <f>_xlfn.XLOOKUP(C5,'Telemetria Sighra'!F:F,'Telemetria Sighra'!S:S,0)</f>
        <v>2.1289230953521803</v>
      </c>
      <c r="S5" s="44">
        <f>_xlfn.XLOOKUP(Tabela1[[#This Row],[PLACA]],'Telemetria Sighra'!F:F,'Telemetria Sighra'!I:I,0)</f>
        <v>1001.76</v>
      </c>
      <c r="T5" s="104">
        <f>IFERROR((Tabela1[[#This Row],[LITROS CONSUMIDOS]]*$U$1)/Tabela1[[#This Row],[HODÔMETRO]],"-")</f>
        <v>2.818630301438724</v>
      </c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spans="1:36" ht="15.6" x14ac:dyDescent="0.3">
      <c r="A6" s="37" t="s">
        <v>39</v>
      </c>
      <c r="B6" s="37">
        <v>2016</v>
      </c>
      <c r="C6" s="38" t="s">
        <v>40</v>
      </c>
      <c r="D6" s="38" t="s">
        <v>41</v>
      </c>
      <c r="E6" s="38" t="str">
        <f>IFERROR(_xlfn.XLOOKUP(Tabela1[[#This Row],[PLACA]],'Telemetria Sighra'!F:F,'Telemetria Sighra'!T:T),"NÃO EMBARCADO")</f>
        <v>LUIZ TOME DOS SANTOS FILHO - 10844</v>
      </c>
      <c r="F6" s="44" cm="1">
        <f t="array" ref="F6">SUMPRODUCT((ISNUMBER(FIND(C6,Faturamento!$F$2:$F$1014)))*(Faturamento!$AA$2:$AA$1014))</f>
        <v>0</v>
      </c>
      <c r="G6" s="44">
        <f>Tabela1[[#This Row],[HODÔMETRO]]-Tabela1[[#This Row],[KM CARREGADO]]</f>
        <v>1108.9499999999534</v>
      </c>
      <c r="H6" s="39">
        <f>_xlfn.XLOOKUP(C6,'Telemetria Sighra'!F:F,'Telemetria Sighra'!R:R,0)</f>
        <v>1108.9499999999534</v>
      </c>
      <c r="I6" s="71">
        <f>SUMIF(Faturamento!AC:AC,C6,Faturamento!T:T)</f>
        <v>0</v>
      </c>
      <c r="J6" s="80" cm="1">
        <f t="array" ref="J6">SUMPRODUCT((ISNUMBER(FIND(C6,Faturamento!$F$2:$F$1014)))*(Faturamento!$R$2:$R$1014))</f>
        <v>0</v>
      </c>
      <c r="K6" s="45">
        <f ca="1">$AD$2/30*$AA$1</f>
        <v>7856.0195277777784</v>
      </c>
      <c r="L6" s="45">
        <v>3.55</v>
      </c>
      <c r="M6" s="45">
        <v>36051</v>
      </c>
      <c r="N6" s="107">
        <f ca="1">Tabela1[[#This Row],[RESULTADO]]/Tabela1[[#This Row],[EBITDA ESTIMADO]]</f>
        <v>-0.32711414462227439</v>
      </c>
      <c r="O6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-11792.792027777614</v>
      </c>
      <c r="P6" s="92" t="str">
        <f ca="1">IFERROR(Tabela1[[#This Row],[RESULTADO]]/Tabela1[[#This Row],[FATURAMENTO]],"-")</f>
        <v>-</v>
      </c>
      <c r="Q6" s="41">
        <f>IFERROR(I6/H6,"-")</f>
        <v>0</v>
      </c>
      <c r="R6" s="42">
        <f>_xlfn.XLOOKUP(C6,'Telemetria Sighra'!F:F,'Telemetria Sighra'!S:S,0)</f>
        <v>2.1881301422567727</v>
      </c>
      <c r="S6" s="44">
        <f>_xlfn.XLOOKUP(Tabela1[[#This Row],[PLACA]],'Telemetria Sighra'!F:F,'Telemetria Sighra'!I:I,0)</f>
        <v>506.83</v>
      </c>
      <c r="T6" s="104">
        <f>IFERROR((Tabela1[[#This Row],[LITROS CONSUMIDOS]]*$U$1)/Tabela1[[#This Row],[HODÔMETRO]],"-")</f>
        <v>2.7422156093603207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</row>
    <row r="7" spans="1:36" ht="15.6" x14ac:dyDescent="0.3">
      <c r="A7" s="37" t="s">
        <v>39</v>
      </c>
      <c r="B7" s="37">
        <v>2016</v>
      </c>
      <c r="C7" s="38" t="s">
        <v>48</v>
      </c>
      <c r="D7" s="38" t="s">
        <v>43</v>
      </c>
      <c r="E7" s="38" t="str">
        <f>IFERROR(_xlfn.XLOOKUP(Tabela1[[#This Row],[PLACA]],'Telemetria Sighra'!F:F,'Telemetria Sighra'!T:T),"NÃO EMBARCADO")</f>
        <v>CLODOALDO SANTIAGO - 10247</v>
      </c>
      <c r="F7" s="44" cm="1">
        <f t="array" ref="F7">SUMPRODUCT((ISNUMBER(FIND(C7,Faturamento!$F$2:$F$1014)))*(Faturamento!$AA$2:$AA$1014))</f>
        <v>0</v>
      </c>
      <c r="G7" s="44">
        <f>Tabela1[[#This Row],[HODÔMETRO]]-Tabela1[[#This Row],[KM CARREGADO]]</f>
        <v>553.76000000000931</v>
      </c>
      <c r="H7" s="39">
        <f>_xlfn.XLOOKUP(C7,'Telemetria Sighra'!F:F,'Telemetria Sighra'!R:R,0)</f>
        <v>553.76000000000931</v>
      </c>
      <c r="I7" s="71">
        <f>SUMIF(Faturamento!AC:AC,C7,Faturamento!T:T)</f>
        <v>0</v>
      </c>
      <c r="J7" s="80" cm="1">
        <f t="array" ref="J7">SUMPRODUCT((ISNUMBER(FIND(C7,Faturamento!$F$2:$F$1014)))*(Faturamento!$R$2:$R$1014))</f>
        <v>0</v>
      </c>
      <c r="K7" s="45">
        <f ca="1">$AD$2/30*$AA$1</f>
        <v>7856.0195277777784</v>
      </c>
      <c r="L7" s="45">
        <v>3.55</v>
      </c>
      <c r="M7" s="45">
        <v>47896</v>
      </c>
      <c r="N7" s="107">
        <f ca="1">Tabela1[[#This Row],[RESULTADO]]/Tabela1[[#This Row],[EBITDA ESTIMADO]]</f>
        <v>-0.20506655102258667</v>
      </c>
      <c r="O7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-9821.8675277778111</v>
      </c>
      <c r="P7" s="92" t="str">
        <f ca="1">IFERROR(Tabela1[[#This Row],[RESULTADO]]/Tabela1[[#This Row],[FATURAMENTO]],"-")</f>
        <v>-</v>
      </c>
      <c r="Q7" s="41">
        <f>IFERROR(I7/H7,"-")</f>
        <v>0</v>
      </c>
      <c r="R7" s="42">
        <f>_xlfn.XLOOKUP(C7,'Telemetria Sighra'!F:F,'Telemetria Sighra'!S:S,0)</f>
        <v>2.6425231415211377</v>
      </c>
      <c r="S7" s="44">
        <f>_xlfn.XLOOKUP(Tabela1[[#This Row],[PLACA]],'Telemetria Sighra'!F:F,'Telemetria Sighra'!I:I,0)</f>
        <v>209.58</v>
      </c>
      <c r="T7" s="104">
        <f>IFERROR((Tabela1[[#This Row],[LITROS CONSUMIDOS]]*$U$1)/Tabela1[[#This Row],[HODÔMETRO]],"-")</f>
        <v>2.2708032360589043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ht="15.6" x14ac:dyDescent="0.3">
      <c r="A8" s="37" t="s">
        <v>32</v>
      </c>
      <c r="B8" s="37">
        <v>2023</v>
      </c>
      <c r="C8" s="38" t="s">
        <v>38</v>
      </c>
      <c r="D8" s="38" t="s">
        <v>34</v>
      </c>
      <c r="E8" s="38" t="str">
        <f>IFERROR(_xlfn.XLOOKUP(Tabela1[[#This Row],[PLACA]],'Telemetria Sighra'!F:F,'Telemetria Sighra'!T:T),"NÃO EMBARCADO")</f>
        <v>MARCOS AURELIO NOGUEIRA - 235</v>
      </c>
      <c r="F8" s="44" cm="1">
        <f t="array" ref="F8">SUMPRODUCT((ISNUMBER(FIND(C8,Faturamento!$F$2:$F$1014)))*(Faturamento!$AA$2:$AA$1014))</f>
        <v>494</v>
      </c>
      <c r="G8" s="44">
        <f>Tabela1[[#This Row],[HODÔMETRO]]-Tabela1[[#This Row],[KM CARREGADO]]</f>
        <v>1448.5999999999767</v>
      </c>
      <c r="H8" s="39">
        <f>_xlfn.XLOOKUP(C8,'Telemetria Sighra'!F:F,'Telemetria Sighra'!R:R,0)</f>
        <v>1942.5999999999767</v>
      </c>
      <c r="I8" s="71">
        <f>SUMIF(Faturamento!AC:AC,C8,Faturamento!T:T)</f>
        <v>8477.2900000000009</v>
      </c>
      <c r="J8" s="80" cm="1">
        <f t="array" ref="J8">SUMPRODUCT((ISNUMBER(FIND(C8,Faturamento!$F$2:$F$1014)))*(Faturamento!$R$2:$R$1014))</f>
        <v>121889</v>
      </c>
      <c r="K8" s="40">
        <f ca="1">$AH$2/30*$AA$1</f>
        <v>9479.7957222222212</v>
      </c>
      <c r="L8" s="40">
        <v>4.4694000000000003</v>
      </c>
      <c r="M8" s="40">
        <v>39990</v>
      </c>
      <c r="N8" s="92">
        <f ca="1">Tabela1[[#This Row],[RESULTADO]]/Tabela1[[#This Row],[EBITDA ESTIMADO]]</f>
        <v>-0.24217959895529176</v>
      </c>
      <c r="O8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-9684.7621622221177</v>
      </c>
      <c r="P8" s="92">
        <f ca="1">IFERROR(Tabela1[[#This Row],[RESULTADO]]/Tabela1[[#This Row],[FATURAMENTO]],"-")</f>
        <v>-1.1424361042529059</v>
      </c>
      <c r="Q8" s="41">
        <f>IFERROR(I8/H8,"-")</f>
        <v>4.3638886029033781</v>
      </c>
      <c r="R8" s="42">
        <f>_xlfn.XLOOKUP(C8,'Telemetria Sighra'!F:F,'Telemetria Sighra'!S:S,0)</f>
        <v>1.5095531503251722</v>
      </c>
      <c r="S8" s="44">
        <f>_xlfn.XLOOKUP(Tabela1[[#This Row],[PLACA]],'Telemetria Sighra'!F:F,'Telemetria Sighra'!I:I,0)</f>
        <v>1287.01</v>
      </c>
      <c r="T8" s="104">
        <f>IFERROR((Tabela1[[#This Row],[LITROS CONSUMIDOS]]*$U$1)/Tabela1[[#This Row],[HODÔMETRO]],"-")</f>
        <v>3.975115824153244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spans="1:36" ht="15.6" x14ac:dyDescent="0.3">
      <c r="A9" s="37" t="s">
        <v>45</v>
      </c>
      <c r="B9" s="37">
        <v>2025</v>
      </c>
      <c r="C9" s="38" t="s">
        <v>46</v>
      </c>
      <c r="D9" s="38" t="s">
        <v>37</v>
      </c>
      <c r="E9" s="38" t="str">
        <f>IFERROR(_xlfn.XLOOKUP(Tabela1[[#This Row],[PLACA]],'Telemetria Sighra'!F:F,'Telemetria Sighra'!T:T),"NÃO EMBARCADO")</f>
        <v>LUIZ ALEX DOS SANTOS - 167</v>
      </c>
      <c r="F9" s="44" cm="1">
        <f t="array" ref="F9">SUMPRODUCT((ISNUMBER(FIND(C9,Faturamento!$F$2:$F$1014)))*(Faturamento!$AA$2:$AA$1014))</f>
        <v>20</v>
      </c>
      <c r="G9" s="44">
        <f>Tabela1[[#This Row],[HODÔMETRO]]-Tabela1[[#This Row],[KM CARREGADO]]</f>
        <v>351.19999999999709</v>
      </c>
      <c r="H9" s="39">
        <f>_xlfn.XLOOKUP(C9,'Telemetria Sighra'!F:F,'Telemetria Sighra'!R:R,0)</f>
        <v>371.19999999999709</v>
      </c>
      <c r="I9" s="71">
        <f>SUMIF(Faturamento!AC:AC,C9,Faturamento!T:T)</f>
        <v>1618.07</v>
      </c>
      <c r="J9" s="80" cm="1">
        <f t="array" ref="J9">SUMPRODUCT((ISNUMBER(FIND(C9,Faturamento!$F$2:$F$1014)))*(Faturamento!$R$2:$R$1014))</f>
        <v>60062</v>
      </c>
      <c r="K9" s="40">
        <f ca="1">$AH$2/30*$AA$1</f>
        <v>9479.7957222222212</v>
      </c>
      <c r="L9" s="40">
        <v>4.4694000000000003</v>
      </c>
      <c r="M9" s="40">
        <v>69761</v>
      </c>
      <c r="N9" s="92">
        <f ca="1">Tabela1[[#This Row],[RESULTADO]]/Tabela1[[#This Row],[EBITDA ESTIMADO]]</f>
        <v>-0.13647692840157408</v>
      </c>
      <c r="O9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-9520.7670022222082</v>
      </c>
      <c r="P9" s="92">
        <f ca="1">IFERROR(Tabela1[[#This Row],[RESULTADO]]/Tabela1[[#This Row],[FATURAMENTO]],"-")</f>
        <v>-5.8840266504058594</v>
      </c>
      <c r="Q9" s="41">
        <f>IFERROR(I9/H9,"-")</f>
        <v>4.3590247844827923</v>
      </c>
      <c r="R9" s="42">
        <f>_xlfn.XLOOKUP(C9,'Telemetria Sighra'!F:F,'Telemetria Sighra'!S:S,0)</f>
        <v>2.0648462265724929</v>
      </c>
      <c r="S9" s="44">
        <f>_xlfn.XLOOKUP(Tabela1[[#This Row],[PLACA]],'Telemetria Sighra'!F:F,'Telemetria Sighra'!I:I,0)</f>
        <v>179.81</v>
      </c>
      <c r="T9" s="104">
        <f>IFERROR((Tabela1[[#This Row],[LITROS CONSUMIDOS]]*$U$1)/Tabela1[[#This Row],[HODÔMETRO]],"-")</f>
        <v>2.9064116379310576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spans="1:36" ht="15.6" x14ac:dyDescent="0.3">
      <c r="A10" s="37" t="s">
        <v>32</v>
      </c>
      <c r="B10" s="37">
        <v>2021</v>
      </c>
      <c r="C10" s="38" t="s">
        <v>50</v>
      </c>
      <c r="D10" s="38" t="s">
        <v>30</v>
      </c>
      <c r="E10" s="38" t="str">
        <f>IFERROR(_xlfn.XLOOKUP(Tabela1[[#This Row],[PLACA]],'Telemetria Sighra'!F:F,'Telemetria Sighra'!T:T),"NÃO EMBARCADO")</f>
        <v>NÃO EMBARCADO</v>
      </c>
      <c r="F10" s="44" cm="1">
        <f t="array" ref="F10">SUMPRODUCT((ISNUMBER(FIND(C10,Faturamento!$F$2:$F$1014)))*(Faturamento!$AA$2:$AA$1014))</f>
        <v>0</v>
      </c>
      <c r="G10" s="44">
        <f>Tabela1[[#This Row],[HODÔMETRO]]-Tabela1[[#This Row],[KM CARREGADO]]</f>
        <v>0</v>
      </c>
      <c r="H10" s="39">
        <f>_xlfn.XLOOKUP(C10,'Telemetria Sighra'!F:F,'Telemetria Sighra'!R:R,0)</f>
        <v>0</v>
      </c>
      <c r="I10" s="71">
        <f>SUMIF(Faturamento!AC:AC,C10,Faturamento!T:T)</f>
        <v>0</v>
      </c>
      <c r="J10" s="80" cm="1">
        <f t="array" ref="J10">SUMPRODUCT((ISNUMBER(FIND(C10,Faturamento!$F$2:$F$1014)))*(Faturamento!$R$2:$R$1014))</f>
        <v>0</v>
      </c>
      <c r="K10" s="40">
        <f ca="1">$AH$2/30*$AA$1</f>
        <v>9479.7957222222212</v>
      </c>
      <c r="L10" s="40">
        <v>4.4694000000000003</v>
      </c>
      <c r="M10" s="40">
        <v>40000</v>
      </c>
      <c r="N10" s="92">
        <f ca="1">Tabela1[[#This Row],[RESULTADO]]/Tabela1[[#This Row],[EBITDA ESTIMADO]]</f>
        <v>-0.23699489305555554</v>
      </c>
      <c r="O10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-9479.7957222222212</v>
      </c>
      <c r="P10" s="92" t="str">
        <f ca="1">IFERROR(Tabela1[[#This Row],[RESULTADO]]/Tabela1[[#This Row],[FATURAMENTO]],"-")</f>
        <v>-</v>
      </c>
      <c r="Q10" s="41" t="str">
        <f>IFERROR(I10/H10,"-")</f>
        <v>-</v>
      </c>
      <c r="R10" s="42">
        <f>_xlfn.XLOOKUP(C10,'Telemetria Sighra'!F:F,'Telemetria Sighra'!S:S,0)</f>
        <v>0</v>
      </c>
      <c r="S10" s="44">
        <f>_xlfn.XLOOKUP(Tabela1[[#This Row],[PLACA]],'Telemetria Sighra'!F:F,'Telemetria Sighra'!I:I,0)</f>
        <v>0</v>
      </c>
      <c r="T10" s="104" t="str">
        <f>IFERROR((Tabela1[[#This Row],[LITROS CONSUMIDOS]]*$U$1)/Tabela1[[#This Row],[HODÔMETRO]],"-")</f>
        <v>-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spans="1:36" ht="15.6" x14ac:dyDescent="0.3">
      <c r="A11" s="37" t="s">
        <v>28</v>
      </c>
      <c r="B11" s="37">
        <v>2020</v>
      </c>
      <c r="C11" s="38" t="s">
        <v>51</v>
      </c>
      <c r="D11" s="38" t="s">
        <v>52</v>
      </c>
      <c r="E11" s="38" t="str">
        <f>IFERROR(_xlfn.XLOOKUP(Tabela1[[#This Row],[PLACA]],'Telemetria Sighra'!F:F,'Telemetria Sighra'!T:T),"NÃO EMBARCADO")</f>
        <v>NÃO EMBARCADO</v>
      </c>
      <c r="F11" s="44" cm="1">
        <f t="array" ref="F11">SUMPRODUCT((ISNUMBER(FIND(C11,Faturamento!$F$2:$F$1014)))*(Faturamento!$AA$2:$AA$1014))</f>
        <v>0</v>
      </c>
      <c r="G11" s="44">
        <f>Tabela1[[#This Row],[HODÔMETRO]]-Tabela1[[#This Row],[KM CARREGADO]]</f>
        <v>0</v>
      </c>
      <c r="H11" s="39">
        <f>_xlfn.XLOOKUP(C11,'Telemetria Sighra'!F:F,'Telemetria Sighra'!R:R,0)</f>
        <v>0</v>
      </c>
      <c r="I11" s="71">
        <f>SUMIF(Faturamento!AC:AC,C11,Faturamento!T:T)</f>
        <v>0</v>
      </c>
      <c r="J11" s="80" cm="1">
        <f t="array" ref="J11">SUMPRODUCT((ISNUMBER(FIND(C11,Faturamento!$F$2:$F$1014)))*(Faturamento!$R$2:$R$1014))</f>
        <v>0</v>
      </c>
      <c r="K11" s="40">
        <f ca="1">$AH$2/30*$AA$1</f>
        <v>9479.7957222222212</v>
      </c>
      <c r="L11" s="40">
        <v>4.4694000000000003</v>
      </c>
      <c r="M11" s="40">
        <v>40000</v>
      </c>
      <c r="N11" s="92">
        <f ca="1">Tabela1[[#This Row],[RESULTADO]]/Tabela1[[#This Row],[EBITDA ESTIMADO]]</f>
        <v>-0.23699489305555554</v>
      </c>
      <c r="O11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-9479.7957222222212</v>
      </c>
      <c r="P11" s="92" t="str">
        <f ca="1">IFERROR(Tabela1[[#This Row],[RESULTADO]]/Tabela1[[#This Row],[FATURAMENTO]],"-")</f>
        <v>-</v>
      </c>
      <c r="Q11" s="41" t="str">
        <f>IFERROR(I11/H11,"-")</f>
        <v>-</v>
      </c>
      <c r="R11" s="42">
        <f>_xlfn.XLOOKUP(C11,'Telemetria Sighra'!F:F,'Telemetria Sighra'!S:S,0)</f>
        <v>0</v>
      </c>
      <c r="S11" s="44">
        <f>_xlfn.XLOOKUP(Tabela1[[#This Row],[PLACA]],'Telemetria Sighra'!F:F,'Telemetria Sighra'!I:I,0)</f>
        <v>0</v>
      </c>
      <c r="T11" s="104" t="str">
        <f>IFERROR((Tabela1[[#This Row],[LITROS CONSUMIDOS]]*$U$1)/Tabela1[[#This Row],[HODÔMETRO]],"-")</f>
        <v>-</v>
      </c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59"/>
      <c r="AG11" s="36"/>
      <c r="AH11" s="36"/>
      <c r="AI11" s="36"/>
      <c r="AJ11" s="36"/>
    </row>
    <row r="12" spans="1:36" ht="15.6" x14ac:dyDescent="0.3">
      <c r="A12" s="37" t="s">
        <v>32</v>
      </c>
      <c r="B12" s="37">
        <v>2024</v>
      </c>
      <c r="C12" s="38" t="s">
        <v>53</v>
      </c>
      <c r="D12" s="38" t="s">
        <v>30</v>
      </c>
      <c r="E12" s="38" t="str">
        <f>IFERROR(_xlfn.XLOOKUP(Tabela1[[#This Row],[PLACA]],'Telemetria Sighra'!F:F,'Telemetria Sighra'!T:T),"NÃO EMBARCADO")</f>
        <v>EMERSON MENON CUNHA - 128</v>
      </c>
      <c r="F12" s="44" cm="1">
        <f t="array" ref="F12">SUMPRODUCT((ISNUMBER(FIND(C12,Faturamento!$F$2:$F$1014)))*(Faturamento!$AA$2:$AA$1014))</f>
        <v>645</v>
      </c>
      <c r="G12" s="44">
        <f>Tabela1[[#This Row],[HODÔMETRO]]-Tabela1[[#This Row],[KM CARREGADO]]</f>
        <v>1268.8500000000058</v>
      </c>
      <c r="H12" s="39">
        <f>_xlfn.XLOOKUP(C12,'Telemetria Sighra'!F:F,'Telemetria Sighra'!R:R,0)</f>
        <v>1913.8500000000058</v>
      </c>
      <c r="I12" s="71">
        <f>SUMIF(Faturamento!AC:AC,C12,Faturamento!T:T)</f>
        <v>8660.51</v>
      </c>
      <c r="J12" s="80" cm="1">
        <f t="array" ref="J12">SUMPRODUCT((ISNUMBER(FIND(C12,Faturamento!$F$2:$F$1014)))*(Faturamento!$R$2:$R$1014))</f>
        <v>145601</v>
      </c>
      <c r="K12" s="40">
        <f ca="1">$AH$2/30*$AA$1</f>
        <v>9479.7957222222212</v>
      </c>
      <c r="L12" s="40">
        <v>4.4694000000000003</v>
      </c>
      <c r="M12" s="40">
        <v>40000</v>
      </c>
      <c r="N12" s="92">
        <f ca="1">Tabela1[[#This Row],[RESULTADO]]/Tabela1[[#This Row],[EBITDA ESTIMADO]]</f>
        <v>-0.23432617280555618</v>
      </c>
      <c r="O12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-9373.0469122222476</v>
      </c>
      <c r="P12" s="92">
        <f ca="1">IFERROR(Tabela1[[#This Row],[RESULTADO]]/Tabela1[[#This Row],[FATURAMENTO]],"-")</f>
        <v>-1.0822742439212294</v>
      </c>
      <c r="Q12" s="41">
        <f>IFERROR(I12/H12,"-")</f>
        <v>4.5251769992423512</v>
      </c>
      <c r="R12" s="42">
        <f>_xlfn.XLOOKUP(C12,'Telemetria Sighra'!F:F,'Telemetria Sighra'!S:S,0)</f>
        <v>2.5586642961220205</v>
      </c>
      <c r="S12" s="44">
        <f>_xlfn.XLOOKUP(Tabela1[[#This Row],[PLACA]],'Telemetria Sighra'!F:F,'Telemetria Sighra'!I:I,0)</f>
        <v>748.07</v>
      </c>
      <c r="T12" s="104">
        <f>IFERROR((Tabela1[[#This Row],[LITROS CONSUMIDOS]]*$U$1)/Tabela1[[#This Row],[HODÔMETRO]],"-")</f>
        <v>2.3452308174621765</v>
      </c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spans="1:36" ht="15.6" x14ac:dyDescent="0.3">
      <c r="A13" s="37" t="s">
        <v>32</v>
      </c>
      <c r="B13" s="37">
        <v>2024</v>
      </c>
      <c r="C13" s="38" t="s">
        <v>42</v>
      </c>
      <c r="D13" s="38" t="s">
        <v>43</v>
      </c>
      <c r="E13" s="38" t="str">
        <f>IFERROR(_xlfn.XLOOKUP(Tabela1[[#This Row],[PLACA]],'Telemetria Sighra'!F:F,'Telemetria Sighra'!T:T),"NÃO EMBARCADO")</f>
        <v>MARIOVANY QUIRINO GOMES - 200</v>
      </c>
      <c r="F13" s="44" cm="1">
        <f t="array" ref="F13">SUMPRODUCT((ISNUMBER(FIND(C13,Faturamento!$F$2:$F$1014)))*(Faturamento!$AA$2:$AA$1014))</f>
        <v>860</v>
      </c>
      <c r="G13" s="44">
        <f>Tabela1[[#This Row],[HODÔMETRO]]-Tabela1[[#This Row],[KM CARREGADO]]</f>
        <v>1821.9100000000035</v>
      </c>
      <c r="H13" s="39">
        <f>_xlfn.XLOOKUP(C13,'Telemetria Sighra'!F:F,'Telemetria Sighra'!R:R,0)</f>
        <v>2681.9100000000035</v>
      </c>
      <c r="I13" s="71">
        <f>SUMIF(Faturamento!AC:AC,C13,Faturamento!T:T)</f>
        <v>12919.55</v>
      </c>
      <c r="J13" s="80" cm="1">
        <f t="array" ref="J13">SUMPRODUCT((ISNUMBER(FIND(C13,Faturamento!$F$2:$F$1014)))*(Faturamento!$R$2:$R$1014))</f>
        <v>247926</v>
      </c>
      <c r="K13" s="40">
        <f ca="1">$AH$2/30*$AA$1</f>
        <v>9479.7957222222212</v>
      </c>
      <c r="L13" s="40">
        <v>4.4694000000000003</v>
      </c>
      <c r="M13" s="40">
        <v>47896</v>
      </c>
      <c r="N13" s="92">
        <f ca="1">Tabela1[[#This Row],[RESULTADO]]/Tabela1[[#This Row],[EBITDA ESTIMADO]]</f>
        <v>-0.17844442701315849</v>
      </c>
      <c r="O13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-8546.7742762222388</v>
      </c>
      <c r="P13" s="92">
        <f ca="1">IFERROR(Tabela1[[#This Row],[RESULTADO]]/Tabela1[[#This Row],[FATURAMENTO]],"-")</f>
        <v>-0.66153807804623532</v>
      </c>
      <c r="Q13" s="41">
        <f>IFERROR(I13/H13,"-")</f>
        <v>4.8172943909377954</v>
      </c>
      <c r="R13" s="42">
        <f>_xlfn.XLOOKUP(C13,'Telemetria Sighra'!F:F,'Telemetria Sighra'!S:S,0)</f>
        <v>1.9951276844227237</v>
      </c>
      <c r="S13" s="44">
        <f>_xlfn.XLOOKUP(Tabela1[[#This Row],[PLACA]],'Telemetria Sighra'!F:F,'Telemetria Sighra'!I:I,0)</f>
        <v>1344.33</v>
      </c>
      <c r="T13" s="104">
        <f>IFERROR((Tabela1[[#This Row],[LITROS CONSUMIDOS]]*$U$1)/Tabela1[[#This Row],[HODÔMETRO]],"-")</f>
        <v>3.0075505889459335</v>
      </c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spans="1:36" ht="15.6" x14ac:dyDescent="0.3">
      <c r="A14" s="37" t="s">
        <v>32</v>
      </c>
      <c r="B14" s="37">
        <v>2023</v>
      </c>
      <c r="C14" s="38" t="s">
        <v>47</v>
      </c>
      <c r="D14" s="38" t="s">
        <v>37</v>
      </c>
      <c r="E14" s="38" t="str">
        <f>IFERROR(_xlfn.XLOOKUP(Tabela1[[#This Row],[PLACA]],'Telemetria Sighra'!F:F,'Telemetria Sighra'!T:T),"NÃO EMBARCADO")</f>
        <v>SILAS DE LIMA - 225</v>
      </c>
      <c r="F14" s="44" cm="1">
        <f t="array" ref="F14">SUMPRODUCT((ISNUMBER(FIND(C14,Faturamento!$F$2:$F$1014)))*(Faturamento!$AA$2:$AA$1014))</f>
        <v>860</v>
      </c>
      <c r="G14" s="44">
        <f>Tabela1[[#This Row],[HODÔMETRO]]-Tabela1[[#This Row],[KM CARREGADO]]</f>
        <v>1524.7600000000093</v>
      </c>
      <c r="H14" s="39">
        <f>_xlfn.XLOOKUP(C14,'Telemetria Sighra'!F:F,'Telemetria Sighra'!R:R,0)</f>
        <v>2384.7600000000093</v>
      </c>
      <c r="I14" s="71">
        <f>SUMIF(Faturamento!AC:AC,C14,Faturamento!T:T)</f>
        <v>12599.779999999999</v>
      </c>
      <c r="J14" s="80" cm="1">
        <f t="array" ref="J14">SUMPRODUCT((ISNUMBER(FIND(C14,Faturamento!$F$2:$F$1014)))*(Faturamento!$R$2:$R$1014))</f>
        <v>246833</v>
      </c>
      <c r="K14" s="40">
        <f ca="1">$AH$2/30*$AA$1</f>
        <v>9479.7957222222212</v>
      </c>
      <c r="L14" s="40">
        <v>4.4694000000000003</v>
      </c>
      <c r="M14" s="40">
        <v>69761</v>
      </c>
      <c r="N14" s="92">
        <f ca="1">Tabela1[[#This Row],[RESULTADO]]/Tabela1[[#This Row],[EBITDA ESTIMADO]]</f>
        <v>-0.10806126727286398</v>
      </c>
      <c r="O14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-7538.4620662222642</v>
      </c>
      <c r="P14" s="92">
        <f ca="1">IFERROR(Tabela1[[#This Row],[RESULTADO]]/Tabela1[[#This Row],[FATURAMENTO]],"-")</f>
        <v>-0.59830108670328097</v>
      </c>
      <c r="Q14" s="41">
        <f>IFERROR(I14/H14,"-")</f>
        <v>5.2834582934970182</v>
      </c>
      <c r="R14" s="42">
        <f>_xlfn.XLOOKUP(C14,'Telemetria Sighra'!F:F,'Telemetria Sighra'!S:S,0)</f>
        <v>2.1322694559921329</v>
      </c>
      <c r="S14" s="44">
        <f>_xlfn.XLOOKUP(Tabela1[[#This Row],[PLACA]],'Telemetria Sighra'!F:F,'Telemetria Sighra'!I:I,0)</f>
        <v>1118.55</v>
      </c>
      <c r="T14" s="104">
        <f>IFERROR((Tabela1[[#This Row],[LITROS CONSUMIDOS]]*$U$1)/Tabela1[[#This Row],[HODÔMETRO]],"-")</f>
        <v>2.8142454586624956</v>
      </c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spans="1:36" ht="15.6" x14ac:dyDescent="0.3">
      <c r="A15" s="37" t="s">
        <v>32</v>
      </c>
      <c r="B15" s="37">
        <v>2023</v>
      </c>
      <c r="C15" s="38" t="s">
        <v>55</v>
      </c>
      <c r="D15" s="38" t="s">
        <v>34</v>
      </c>
      <c r="E15" s="38" t="str">
        <f>IFERROR(_xlfn.XLOOKUP(Tabela1[[#This Row],[PLACA]],'Telemetria Sighra'!F:F,'Telemetria Sighra'!T:T),"NÃO EMBARCADO")</f>
        <v>SAMUEL CRUZ TORRES DE BRITO - 189</v>
      </c>
      <c r="F15" s="44" cm="1">
        <f t="array" ref="F15">SUMPRODUCT((ISNUMBER(FIND(C15,Faturamento!$F$2:$F$1014)))*(Faturamento!$AA$2:$AA$1014))</f>
        <v>860</v>
      </c>
      <c r="G15" s="44">
        <f>Tabela1[[#This Row],[HODÔMETRO]]-Tabela1[[#This Row],[KM CARREGADO]]</f>
        <v>1138.539999999979</v>
      </c>
      <c r="H15" s="39">
        <f>_xlfn.XLOOKUP(C15,'Telemetria Sighra'!F:F,'Telemetria Sighra'!R:R,0)</f>
        <v>1998.539999999979</v>
      </c>
      <c r="I15" s="71">
        <f>SUMIF(Faturamento!AC:AC,C15,Faturamento!T:T)</f>
        <v>12600.119999999999</v>
      </c>
      <c r="J15" s="80" cm="1">
        <f t="array" ref="J15">SUMPRODUCT((ISNUMBER(FIND(C15,Faturamento!$F$2:$F$1014)))*(Faturamento!$R$2:$R$1014))</f>
        <v>247201</v>
      </c>
      <c r="K15" s="40">
        <f ca="1">$AH$2/30*$AA$1</f>
        <v>9479.7957222222212</v>
      </c>
      <c r="L15" s="40">
        <v>4.4694000000000003</v>
      </c>
      <c r="M15" s="40">
        <v>39990</v>
      </c>
      <c r="N15" s="92">
        <f ca="1">Tabela1[[#This Row],[RESULTADO]]/Tabela1[[#This Row],[EBITDA ESTIMADO]]</f>
        <v>-0.14533509372898545</v>
      </c>
      <c r="O15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-5811.9503982221286</v>
      </c>
      <c r="P15" s="92">
        <f ca="1">IFERROR(Tabela1[[#This Row],[RESULTADO]]/Tabela1[[#This Row],[FATURAMENTO]],"-")</f>
        <v>-0.46126151165402623</v>
      </c>
      <c r="Q15" s="41">
        <f>IFERROR(I15/H15,"-")</f>
        <v>6.3046624035546603</v>
      </c>
      <c r="R15" s="42">
        <f>_xlfn.XLOOKUP(C15,'Telemetria Sighra'!F:F,'Telemetria Sighra'!S:S,0)</f>
        <v>2.0687367386016664</v>
      </c>
      <c r="S15" s="44">
        <f>_xlfn.XLOOKUP(Tabela1[[#This Row],[PLACA]],'Telemetria Sighra'!F:F,'Telemetria Sighra'!I:I,0)</f>
        <v>966.15</v>
      </c>
      <c r="T15" s="104">
        <f>IFERROR((Tabela1[[#This Row],[LITROS CONSUMIDOS]]*$U$1)/Tabela1[[#This Row],[HODÔMETRO]],"-")</f>
        <v>2.9005674142124054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spans="1:36" ht="15.6" x14ac:dyDescent="0.3">
      <c r="A16" s="37" t="s">
        <v>32</v>
      </c>
      <c r="B16" s="37">
        <v>2023</v>
      </c>
      <c r="C16" s="38" t="s">
        <v>56</v>
      </c>
      <c r="D16" s="38" t="s">
        <v>57</v>
      </c>
      <c r="E16" s="38" t="str">
        <f>IFERROR(_xlfn.XLOOKUP(Tabela1[[#This Row],[PLACA]],'Telemetria Sighra'!F:F,'Telemetria Sighra'!T:T),"NÃO EMBARCADO")</f>
        <v>JOSE CLAUDIO DA CRUZ - 201</v>
      </c>
      <c r="F16" s="44" cm="1">
        <f t="array" ref="F16">SUMPRODUCT((ISNUMBER(FIND(C16,Faturamento!$F$2:$F$1014)))*(Faturamento!$AA$2:$AA$1014))</f>
        <v>580</v>
      </c>
      <c r="G16" s="44">
        <f>Tabela1[[#This Row],[HODÔMETRO]]-Tabela1[[#This Row],[KM CARREGADO]]</f>
        <v>186.36999999999534</v>
      </c>
      <c r="H16" s="39">
        <f>_xlfn.XLOOKUP(C16,'Telemetria Sighra'!F:F,'Telemetria Sighra'!R:R,0)</f>
        <v>766.36999999999534</v>
      </c>
      <c r="I16" s="71">
        <f>SUMIF(Faturamento!AC:AC,C16,Faturamento!T:T)</f>
        <v>8338.09</v>
      </c>
      <c r="J16" s="80" cm="1">
        <f t="array" ref="J16">SUMPRODUCT((ISNUMBER(FIND(C16,Faturamento!$F$2:$F$1014)))*(Faturamento!$R$2:$R$1014))</f>
        <v>59250</v>
      </c>
      <c r="K16" s="40">
        <f ca="1">$AH$2/30*$AA$1</f>
        <v>9479.7957222222212</v>
      </c>
      <c r="L16" s="40">
        <v>4.4694000000000003</v>
      </c>
      <c r="M16" s="40">
        <v>53428</v>
      </c>
      <c r="N16" s="92">
        <f ca="1">Tabela1[[#This Row],[RESULTADO]]/Tabela1[[#This Row],[EBITDA ESTIMADO]]</f>
        <v>-8.5478022763760583E-2</v>
      </c>
      <c r="O16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-4566.9198002222001</v>
      </c>
      <c r="P16" s="92">
        <f ca="1">IFERROR(Tabela1[[#This Row],[RESULTADO]]/Tabela1[[#This Row],[FATURAMENTO]],"-")</f>
        <v>-0.5477177387413904</v>
      </c>
      <c r="Q16" s="41">
        <f>IFERROR(I16/H16,"-")</f>
        <v>10.879979644297208</v>
      </c>
      <c r="R16" s="42">
        <f>_xlfn.XLOOKUP(C16,'Telemetria Sighra'!F:F,'Telemetria Sighra'!S:S,0)</f>
        <v>1.2623517786561265</v>
      </c>
      <c r="S16" s="44">
        <f>_xlfn.XLOOKUP(Tabela1[[#This Row],[PLACA]],'Telemetria Sighra'!F:F,'Telemetria Sighra'!I:I,0)</f>
        <v>607.20000000000005</v>
      </c>
      <c r="T16" s="104">
        <f>IFERROR((Tabela1[[#This Row],[LITROS CONSUMIDOS]]*$U$1)/Tabela1[[#This Row],[HODÔMETRO]],"-")</f>
        <v>4.7538395292091584</v>
      </c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spans="1:36" ht="15.6" x14ac:dyDescent="0.3">
      <c r="A17" s="37" t="s">
        <v>28</v>
      </c>
      <c r="B17" s="37">
        <v>2020</v>
      </c>
      <c r="C17" s="38" t="s">
        <v>66</v>
      </c>
      <c r="D17" s="38" t="s">
        <v>34</v>
      </c>
      <c r="E17" s="38" t="str">
        <f>IFERROR(_xlfn.XLOOKUP(Tabela1[[#This Row],[PLACA]],'Telemetria Sighra'!F:F,'Telemetria Sighra'!T:T),"NÃO EMBARCADO")</f>
        <v>ADRIANO DAGNON - 247</v>
      </c>
      <c r="F17" s="44" cm="1">
        <f t="array" ref="F17">SUMPRODUCT((ISNUMBER(FIND(C17,Faturamento!$F$2:$F$1014)))*(Faturamento!$AA$2:$AA$1014))</f>
        <v>1076</v>
      </c>
      <c r="G17" s="44">
        <f>Tabela1[[#This Row],[HODÔMETRO]]-Tabela1[[#This Row],[KM CARREGADO]]</f>
        <v>1945.859999999986</v>
      </c>
      <c r="H17" s="39">
        <f>_xlfn.XLOOKUP(C17,'Telemetria Sighra'!F:F,'Telemetria Sighra'!R:R,0)</f>
        <v>3021.859999999986</v>
      </c>
      <c r="I17" s="71">
        <f>SUMIF(Faturamento!AC:AC,C17,Faturamento!T:T)</f>
        <v>18675.3</v>
      </c>
      <c r="J17" s="80" cm="1">
        <f t="array" ref="J17">SUMPRODUCT((ISNUMBER(FIND(C17,Faturamento!$F$2:$F$1014)))*(Faturamento!$R$2:$R$1014))</f>
        <v>105728</v>
      </c>
      <c r="K17" s="40">
        <f ca="1">$AH$2/30*$AA$1</f>
        <v>9479.7957222222212</v>
      </c>
      <c r="L17" s="40">
        <v>4.4694000000000003</v>
      </c>
      <c r="M17" s="40">
        <v>39990</v>
      </c>
      <c r="N17" s="92">
        <f ca="1">Tabela1[[#This Row],[RESULTADO]]/Tabela1[[#This Row],[EBITDA ESTIMADO]]</f>
        <v>-0.1077868668722721</v>
      </c>
      <c r="O17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-4310.3968062221611</v>
      </c>
      <c r="P17" s="92">
        <f ca="1">IFERROR(Tabela1[[#This Row],[RESULTADO]]/Tabela1[[#This Row],[FATURAMENTO]],"-")</f>
        <v>-0.23080736621217121</v>
      </c>
      <c r="Q17" s="41">
        <f>IFERROR(I17/H17,"-")</f>
        <v>6.1800679051974896</v>
      </c>
      <c r="R17" s="42">
        <f>_xlfn.XLOOKUP(C17,'Telemetria Sighra'!F:F,'Telemetria Sighra'!S:S,0)</f>
        <v>1.5784709563182611</v>
      </c>
      <c r="S17" s="44">
        <f>_xlfn.XLOOKUP(Tabela1[[#This Row],[PLACA]],'Telemetria Sighra'!F:F,'Telemetria Sighra'!I:I,0)</f>
        <v>1914.53</v>
      </c>
      <c r="T17" s="104">
        <f>IFERROR((Tabela1[[#This Row],[LITROS CONSUMIDOS]]*$U$1)/Tabela1[[#This Row],[HODÔMETRO]],"-")</f>
        <v>3.8013607513253604</v>
      </c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spans="1:36" ht="15.6" x14ac:dyDescent="0.3">
      <c r="A18" s="37" t="s">
        <v>32</v>
      </c>
      <c r="B18" s="37">
        <v>2023</v>
      </c>
      <c r="C18" s="38" t="s">
        <v>58</v>
      </c>
      <c r="D18" s="38" t="s">
        <v>30</v>
      </c>
      <c r="E18" s="38" t="str">
        <f>IFERROR(_xlfn.XLOOKUP(Tabela1[[#This Row],[PLACA]],'Telemetria Sighra'!F:F,'Telemetria Sighra'!T:T),"NÃO EMBARCADO")</f>
        <v>LEANDRO CESAR VIEIRA DE OLIVEIRA - 1</v>
      </c>
      <c r="F18" s="44" cm="1">
        <f t="array" ref="F18">SUMPRODUCT((ISNUMBER(FIND(C18,Faturamento!$F$2:$F$1014)))*(Faturamento!$AA$2:$AA$1014))</f>
        <v>2055</v>
      </c>
      <c r="G18" s="44">
        <f>Tabela1[[#This Row],[HODÔMETRO]]-Tabela1[[#This Row],[KM CARREGADO]]</f>
        <v>602.46999999997206</v>
      </c>
      <c r="H18" s="39">
        <f>_xlfn.XLOOKUP(C18,'Telemetria Sighra'!F:F,'Telemetria Sighra'!R:R,0)</f>
        <v>2657.4699999999721</v>
      </c>
      <c r="I18" s="71">
        <f>SUMIF(Faturamento!AC:AC,C18,Faturamento!T:T)</f>
        <v>17096.650000000001</v>
      </c>
      <c r="J18" s="80" cm="1">
        <f t="array" ref="J18">SUMPRODUCT((ISNUMBER(FIND(C18,Faturamento!$F$2:$F$1014)))*(Faturamento!$R$2:$R$1014))</f>
        <v>152090</v>
      </c>
      <c r="K18" s="40">
        <f ca="1">$AH$2/30*$AA$1</f>
        <v>9479.7957222222212</v>
      </c>
      <c r="L18" s="40">
        <v>4.4694000000000003</v>
      </c>
      <c r="M18" s="40">
        <v>40000</v>
      </c>
      <c r="N18" s="92">
        <f ca="1">Tabela1[[#This Row],[RESULTADO]]/Tabela1[[#This Row],[EBITDA ESTIMADO]]</f>
        <v>-0.1065110535055524</v>
      </c>
      <c r="O18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-4260.442140222096</v>
      </c>
      <c r="P18" s="92">
        <f ca="1">IFERROR(Tabela1[[#This Row],[RESULTADO]]/Tabela1[[#This Row],[FATURAMENTO]],"-")</f>
        <v>-0.24919748256074117</v>
      </c>
      <c r="Q18" s="41">
        <f>IFERROR(I18/H18,"-")</f>
        <v>6.4334310453176071</v>
      </c>
      <c r="R18" s="42">
        <f>_xlfn.XLOOKUP(C18,'Telemetria Sighra'!F:F,'Telemetria Sighra'!S:S,0)</f>
        <v>1.9377415168350907</v>
      </c>
      <c r="S18" s="44">
        <f>_xlfn.XLOOKUP(Tabela1[[#This Row],[PLACA]],'Telemetria Sighra'!F:F,'Telemetria Sighra'!I:I,0)</f>
        <v>1371.54</v>
      </c>
      <c r="T18" s="104">
        <f>IFERROR((Tabela1[[#This Row],[LITROS CONSUMIDOS]]*$U$1)/Tabela1[[#This Row],[HODÔMETRO]],"-")</f>
        <v>3.0966445529018527</v>
      </c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spans="1:36" ht="15.6" x14ac:dyDescent="0.3">
      <c r="A19" s="37" t="s">
        <v>32</v>
      </c>
      <c r="B19" s="37">
        <v>2021</v>
      </c>
      <c r="C19" s="38" t="s">
        <v>59</v>
      </c>
      <c r="D19" s="38" t="s">
        <v>30</v>
      </c>
      <c r="E19" s="38" t="str">
        <f>IFERROR(_xlfn.XLOOKUP(Tabela1[[#This Row],[PLACA]],'Telemetria Sighra'!F:F,'Telemetria Sighra'!T:T),"NÃO EMBARCADO")</f>
        <v>VILSO DE OLIVEIRA COSTA - 78</v>
      </c>
      <c r="F19" s="44" cm="1">
        <f t="array" ref="F19">SUMPRODUCT((ISNUMBER(FIND(C19,Faturamento!$F$2:$F$1014)))*(Faturamento!$AA$2:$AA$1014))</f>
        <v>1860</v>
      </c>
      <c r="G19" s="44">
        <f>Tabela1[[#This Row],[HODÔMETRO]]-Tabela1[[#This Row],[KM CARREGADO]]</f>
        <v>-793.73999999999069</v>
      </c>
      <c r="H19" s="39">
        <f>_xlfn.XLOOKUP(C19,'Telemetria Sighra'!F:F,'Telemetria Sighra'!R:R,0)</f>
        <v>1066.2600000000093</v>
      </c>
      <c r="I19" s="71">
        <f>SUMIF(Faturamento!AC:AC,C19,Faturamento!T:T)</f>
        <v>10600</v>
      </c>
      <c r="J19" s="80" cm="1">
        <f t="array" ref="J19">SUMPRODUCT((ISNUMBER(FIND(C19,Faturamento!$F$2:$F$1014)))*(Faturamento!$R$2:$R$1014))</f>
        <v>107140</v>
      </c>
      <c r="K19" s="40">
        <f ca="1">$AH$2/30*$AA$1</f>
        <v>9479.7957222222212</v>
      </c>
      <c r="L19" s="40">
        <v>4.4694000000000003</v>
      </c>
      <c r="M19" s="40">
        <v>40000</v>
      </c>
      <c r="N19" s="92">
        <f ca="1">Tabela1[[#This Row],[RESULTADO]]/Tabela1[[#This Row],[EBITDA ESTIMADO]]</f>
        <v>-9.113345415555657E-2</v>
      </c>
      <c r="O19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-3645.3381662222628</v>
      </c>
      <c r="P19" s="92">
        <f ca="1">IFERROR(Tabela1[[#This Row],[RESULTADO]]/Tabela1[[#This Row],[FATURAMENTO]],"-")</f>
        <v>-0.34389982700210026</v>
      </c>
      <c r="Q19" s="41">
        <f>IFERROR(I19/H19,"-")</f>
        <v>9.9412901168569654</v>
      </c>
      <c r="R19" s="42">
        <f>_xlfn.XLOOKUP(C19,'Telemetria Sighra'!F:F,'Telemetria Sighra'!S:S,0)</f>
        <v>2.0141831916902739</v>
      </c>
      <c r="S19" s="44">
        <f>_xlfn.XLOOKUP(Tabela1[[#This Row],[PLACA]],'Telemetria Sighra'!F:F,'Telemetria Sighra'!I:I,0)</f>
        <v>529.5</v>
      </c>
      <c r="T19" s="104">
        <f>IFERROR((Tabela1[[#This Row],[LITROS CONSUMIDOS]]*$U$1)/Tabela1[[#This Row],[HODÔMETRO]],"-")</f>
        <v>2.9795734623825072</v>
      </c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spans="1:36" ht="15.6" x14ac:dyDescent="0.3">
      <c r="A20" s="37" t="s">
        <v>28</v>
      </c>
      <c r="B20" s="37">
        <v>2020</v>
      </c>
      <c r="C20" s="38" t="s">
        <v>63</v>
      </c>
      <c r="D20" s="38" t="s">
        <v>57</v>
      </c>
      <c r="E20" s="38" t="str">
        <f>IFERROR(_xlfn.XLOOKUP(Tabela1[[#This Row],[PLACA]],'Telemetria Sighra'!F:F,'Telemetria Sighra'!T:T),"NÃO EMBARCADO")</f>
        <v>LUIZ CARLOS COELHO - 3</v>
      </c>
      <c r="F20" s="44" cm="1">
        <f t="array" ref="F20">SUMPRODUCT((ISNUMBER(FIND(C20,Faturamento!$F$2:$F$1014)))*(Faturamento!$AA$2:$AA$1014))</f>
        <v>1166</v>
      </c>
      <c r="G20" s="44">
        <f>Tabela1[[#This Row],[HODÔMETRO]]-Tabela1[[#This Row],[KM CARREGADO]]</f>
        <v>2335.1199999999953</v>
      </c>
      <c r="H20" s="39">
        <f>_xlfn.XLOOKUP(C20,'Telemetria Sighra'!F:F,'Telemetria Sighra'!R:R,0)</f>
        <v>3501.1199999999953</v>
      </c>
      <c r="I20" s="71">
        <f>SUMIF(Faturamento!AC:AC,C20,Faturamento!T:T)</f>
        <v>21506.67</v>
      </c>
      <c r="J20" s="80" cm="1">
        <f t="array" ref="J20">SUMPRODUCT((ISNUMBER(FIND(C20,Faturamento!$F$2:$F$1014)))*(Faturamento!$R$2:$R$1014))</f>
        <v>340196</v>
      </c>
      <c r="K20" s="40">
        <f ca="1">$AH$2/30*$AA$1</f>
        <v>9479.7957222222212</v>
      </c>
      <c r="L20" s="40">
        <v>4.4694000000000003</v>
      </c>
      <c r="M20" s="40">
        <v>53428</v>
      </c>
      <c r="N20" s="92">
        <f ca="1">Tabela1[[#This Row],[RESULTADO]]/Tabela1[[#This Row],[EBITDA ESTIMADO]]</f>
        <v>-6.7774040769300797E-2</v>
      </c>
      <c r="O20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-3621.0314502222027</v>
      </c>
      <c r="P20" s="92">
        <f ca="1">IFERROR(Tabela1[[#This Row],[RESULTADO]]/Tabela1[[#This Row],[FATURAMENTO]],"-")</f>
        <v>-0.16836783426826205</v>
      </c>
      <c r="Q20" s="41">
        <f>IFERROR(I20/H20,"-")</f>
        <v>6.1427971620510089</v>
      </c>
      <c r="R20" s="42">
        <f>_xlfn.XLOOKUP(C20,'Telemetria Sighra'!F:F,'Telemetria Sighra'!S:S,0)</f>
        <v>1.9996287962719723</v>
      </c>
      <c r="S20" s="44">
        <f>_xlfn.XLOOKUP(Tabela1[[#This Row],[PLACA]],'Telemetria Sighra'!F:F,'Telemetria Sighra'!I:I,0)</f>
        <v>1751.06</v>
      </c>
      <c r="T20" s="104">
        <f>IFERROR((Tabela1[[#This Row],[LITROS CONSUMIDOS]]*$U$1)/Tabela1[[#This Row],[HODÔMETRO]],"-")</f>
        <v>3.0008568686591759</v>
      </c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spans="1:36" ht="15.6" x14ac:dyDescent="0.3">
      <c r="A21" s="37" t="s">
        <v>32</v>
      </c>
      <c r="B21" s="37">
        <v>2023</v>
      </c>
      <c r="C21" s="38" t="s">
        <v>60</v>
      </c>
      <c r="D21" s="38" t="s">
        <v>61</v>
      </c>
      <c r="E21" s="38" t="str">
        <f>IFERROR(_xlfn.XLOOKUP(Tabela1[[#This Row],[PLACA]],'Telemetria Sighra'!F:F,'Telemetria Sighra'!T:T),"NÃO EMBARCADO")</f>
        <v>RICARDO FERREIRA DOS SANTOS - 5002</v>
      </c>
      <c r="F21" s="44" cm="1">
        <f t="array" ref="F21">SUMPRODUCT((ISNUMBER(FIND(C21,Faturamento!$F$2:$F$1014)))*(Faturamento!$AA$2:$AA$1014))</f>
        <v>641</v>
      </c>
      <c r="G21" s="44">
        <f>Tabela1[[#This Row],[HODÔMETRO]]-Tabela1[[#This Row],[KM CARREGADO]]</f>
        <v>791.67999999999302</v>
      </c>
      <c r="H21" s="39">
        <f>_xlfn.XLOOKUP(C21,'Telemetria Sighra'!F:F,'Telemetria Sighra'!R:R,0)</f>
        <v>1432.679999999993</v>
      </c>
      <c r="I21" s="71">
        <f>SUMIF(Faturamento!AC:AC,C21,Faturamento!T:T)</f>
        <v>12389.210000000001</v>
      </c>
      <c r="J21" s="80" cm="1">
        <f t="array" ref="J21">SUMPRODUCT((ISNUMBER(FIND(C21,Faturamento!$F$2:$F$1014)))*(Faturamento!$R$2:$R$1014))</f>
        <v>59621</v>
      </c>
      <c r="K21" s="40">
        <f ca="1">$AH$2/30*$AA$1</f>
        <v>9479.7957222222212</v>
      </c>
      <c r="L21" s="40">
        <v>4.4694000000000003</v>
      </c>
      <c r="M21" s="40">
        <v>36108</v>
      </c>
      <c r="N21" s="92">
        <f ca="1">Tabela1[[#This Row],[RESULTADO]]/Tabela1[[#This Row],[EBITDA ESTIMADO]]</f>
        <v>-9.6759879091120798E-2</v>
      </c>
      <c r="O21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-3493.8057142221896</v>
      </c>
      <c r="P21" s="92">
        <f ca="1">IFERROR(Tabela1[[#This Row],[RESULTADO]]/Tabela1[[#This Row],[FATURAMENTO]],"-")</f>
        <v>-0.28200391423038185</v>
      </c>
      <c r="Q21" s="41">
        <f>IFERROR(I21/H21,"-")</f>
        <v>8.6475765697853397</v>
      </c>
      <c r="R21" s="42">
        <f>_xlfn.XLOOKUP(C21,'Telemetria Sighra'!F:F,'Telemetria Sighra'!S:S,0)</f>
        <v>1.488112672545415</v>
      </c>
      <c r="S21" s="44">
        <f>_xlfn.XLOOKUP(Tabela1[[#This Row],[PLACA]],'Telemetria Sighra'!F:F,'Telemetria Sighra'!I:I,0)</f>
        <v>962.79</v>
      </c>
      <c r="T21" s="104">
        <f>IFERROR((Tabela1[[#This Row],[LITROS CONSUMIDOS]]*$U$1)/Tabela1[[#This Row],[HODÔMETRO]],"-")</f>
        <v>4.032121618226002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spans="1:36" ht="15.6" x14ac:dyDescent="0.3">
      <c r="A22" s="37" t="s">
        <v>32</v>
      </c>
      <c r="B22" s="37">
        <v>2023</v>
      </c>
      <c r="C22" s="38" t="s">
        <v>68</v>
      </c>
      <c r="D22" s="38" t="s">
        <v>61</v>
      </c>
      <c r="E22" s="38" t="str">
        <f>IFERROR(_xlfn.XLOOKUP(Tabela1[[#This Row],[PLACA]],'Telemetria Sighra'!F:F,'Telemetria Sighra'!T:T),"NÃO EMBARCADO")</f>
        <v>WILSON CARNEIRO DA SILVA - 246</v>
      </c>
      <c r="F22" s="44" cm="1">
        <f t="array" ref="F22">SUMPRODUCT((ISNUMBER(FIND(C22,Faturamento!$F$2:$F$1014)))*(Faturamento!$AA$2:$AA$1014))</f>
        <v>641</v>
      </c>
      <c r="G22" s="44">
        <f>Tabela1[[#This Row],[HODÔMETRO]]-Tabela1[[#This Row],[KM CARREGADO]]</f>
        <v>727</v>
      </c>
      <c r="H22" s="39">
        <f>_xlfn.XLOOKUP(C22,'Telemetria Sighra'!F:F,'Telemetria Sighra'!R:R,0)</f>
        <v>1368</v>
      </c>
      <c r="I22" s="71">
        <f>SUMIF(Faturamento!AC:AC,C22,Faturamento!T:T)</f>
        <v>12195.2</v>
      </c>
      <c r="J22" s="80" cm="1">
        <f t="array" ref="J22">SUMPRODUCT((ISNUMBER(FIND(C22,Faturamento!$F$2:$F$1014)))*(Faturamento!$R$2:$R$1014))</f>
        <v>59621</v>
      </c>
      <c r="K22" s="40">
        <f ca="1">$AH$2/30*$AA$1</f>
        <v>9479.7957222222212</v>
      </c>
      <c r="L22" s="40">
        <v>4.4694000000000003</v>
      </c>
      <c r="M22" s="40">
        <v>36108</v>
      </c>
      <c r="N22" s="92">
        <f ca="1">Tabela1[[#This Row],[RESULTADO]]/Tabela1[[#This Row],[EBITDA ESTIMADO]]</f>
        <v>-9.4126922627180157E-2</v>
      </c>
      <c r="O22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-3398.734922222221</v>
      </c>
      <c r="P22" s="92">
        <f ca="1">IFERROR(Tabela1[[#This Row],[RESULTADO]]/Tabela1[[#This Row],[FATURAMENTO]],"-")</f>
        <v>-0.27869447997755026</v>
      </c>
      <c r="Q22" s="41">
        <f>IFERROR(I22/H22,"-")</f>
        <v>8.9146198830409364</v>
      </c>
      <c r="R22" s="42">
        <f>_xlfn.XLOOKUP(C22,'Telemetria Sighra'!F:F,'Telemetria Sighra'!S:S,0)</f>
        <v>1.5390075708998459</v>
      </c>
      <c r="S22" s="44">
        <f>_xlfn.XLOOKUP(Tabela1[[#This Row],[PLACA]],'Telemetria Sighra'!F:F,'Telemetria Sighra'!I:I,0)</f>
        <v>888.93</v>
      </c>
      <c r="T22" s="104">
        <f>IFERROR((Tabela1[[#This Row],[LITROS CONSUMIDOS]]*$U$1)/Tabela1[[#This Row],[HODÔMETRO]],"-")</f>
        <v>3.8988157894736841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spans="1:36" ht="15.6" x14ac:dyDescent="0.3">
      <c r="A23" s="37" t="s">
        <v>28</v>
      </c>
      <c r="B23" s="37">
        <v>2020</v>
      </c>
      <c r="C23" s="38" t="s">
        <v>62</v>
      </c>
      <c r="D23" s="38" t="s">
        <v>57</v>
      </c>
      <c r="E23" s="38" t="str">
        <f>IFERROR(_xlfn.XLOOKUP(Tabela1[[#This Row],[PLACA]],'Telemetria Sighra'!F:F,'Telemetria Sighra'!T:T),"NÃO EMBARCADO")</f>
        <v>NEY CESAR WANDERLINDE LEINEKER - 40</v>
      </c>
      <c r="F23" s="44" cm="1">
        <f t="array" ref="F23">SUMPRODUCT((ISNUMBER(FIND(C23,Faturamento!$F$2:$F$1014)))*(Faturamento!$AA$2:$AA$1014))</f>
        <v>1346</v>
      </c>
      <c r="G23" s="44">
        <f>Tabela1[[#This Row],[HODÔMETRO]]-Tabela1[[#This Row],[KM CARREGADO]]</f>
        <v>1249.9399999999441</v>
      </c>
      <c r="H23" s="39">
        <f>_xlfn.XLOOKUP(C23,'Telemetria Sighra'!F:F,'Telemetria Sighra'!R:R,0)</f>
        <v>2595.9399999999441</v>
      </c>
      <c r="I23" s="71">
        <f>SUMIF(Faturamento!AC:AC,C23,Faturamento!T:T)</f>
        <v>17944.68</v>
      </c>
      <c r="J23" s="80" cm="1">
        <f t="array" ref="J23">SUMPRODUCT((ISNUMBER(FIND(C23,Faturamento!$F$2:$F$1014)))*(Faturamento!$R$2:$R$1014))</f>
        <v>198048</v>
      </c>
      <c r="K23" s="40">
        <f ca="1">$AH$2/30*$AA$1</f>
        <v>9479.7957222222212</v>
      </c>
      <c r="L23" s="40">
        <v>4.4694000000000003</v>
      </c>
      <c r="M23" s="40">
        <v>53428</v>
      </c>
      <c r="N23" s="92">
        <f ca="1">Tabela1[[#This Row],[RESULTADO]]/Tabela1[[#This Row],[EBITDA ESTIMADO]]</f>
        <v>-5.8722204803136398E-2</v>
      </c>
      <c r="O23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-3137.4099582219715</v>
      </c>
      <c r="P23" s="92">
        <f ca="1">IFERROR(Tabela1[[#This Row],[RESULTADO]]/Tabela1[[#This Row],[FATURAMENTO]],"-")</f>
        <v>-0.17483788834473346</v>
      </c>
      <c r="Q23" s="41">
        <f>IFERROR(I23/H23,"-")</f>
        <v>6.9125942818402528</v>
      </c>
      <c r="R23" s="42">
        <f>_xlfn.XLOOKUP(C23,'Telemetria Sighra'!F:F,'Telemetria Sighra'!S:S,0)</f>
        <v>2.2784852341041728</v>
      </c>
      <c r="S23" s="44">
        <f>_xlfn.XLOOKUP(Tabela1[[#This Row],[PLACA]],'Telemetria Sighra'!F:F,'Telemetria Sighra'!I:I,0)</f>
        <v>1139.45</v>
      </c>
      <c r="T23" s="104">
        <f>IFERROR((Tabela1[[#This Row],[LITROS CONSUMIDOS]]*$U$1)/Tabela1[[#This Row],[HODÔMETRO]],"-")</f>
        <v>2.6336124871915945</v>
      </c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spans="1:36" ht="15.6" x14ac:dyDescent="0.3">
      <c r="A24" s="37" t="s">
        <v>32</v>
      </c>
      <c r="B24" s="37">
        <v>2021</v>
      </c>
      <c r="C24" s="38" t="s">
        <v>65</v>
      </c>
      <c r="D24" s="38" t="s">
        <v>30</v>
      </c>
      <c r="E24" s="38" t="str">
        <f>IFERROR(_xlfn.XLOOKUP(Tabela1[[#This Row],[PLACA]],'Telemetria Sighra'!F:F,'Telemetria Sighra'!T:T),"NÃO EMBARCADO")</f>
        <v>ISACC SANTOS GUEDES - 172</v>
      </c>
      <c r="F24" s="44" cm="1">
        <f t="array" ref="F24">SUMPRODUCT((ISNUMBER(FIND(C24,Faturamento!$F$2:$F$1014)))*(Faturamento!$AA$2:$AA$1014))</f>
        <v>2055</v>
      </c>
      <c r="G24" s="44">
        <f>Tabela1[[#This Row],[HODÔMETRO]]-Tabela1[[#This Row],[KM CARREGADO]]</f>
        <v>286.38000000000466</v>
      </c>
      <c r="H24" s="39">
        <f>_xlfn.XLOOKUP(C24,'Telemetria Sighra'!F:F,'Telemetria Sighra'!R:R,0)</f>
        <v>2341.3800000000047</v>
      </c>
      <c r="I24" s="71">
        <f>SUMIF(Faturamento!AC:AC,C24,Faturamento!T:T)</f>
        <v>17140.099999999999</v>
      </c>
      <c r="J24" s="80" cm="1">
        <f t="array" ref="J24">SUMPRODUCT((ISNUMBER(FIND(C24,Faturamento!$F$2:$F$1014)))*(Faturamento!$R$2:$R$1014))</f>
        <v>151820</v>
      </c>
      <c r="K24" s="40">
        <f ca="1">$AH$2/30*$AA$1</f>
        <v>9479.7957222222212</v>
      </c>
      <c r="L24" s="40">
        <v>4.4694000000000003</v>
      </c>
      <c r="M24" s="40">
        <v>40000</v>
      </c>
      <c r="N24" s="92">
        <f ca="1">Tabela1[[#This Row],[RESULTADO]]/Tabela1[[#This Row],[EBITDA ESTIMADO]]</f>
        <v>-7.0106487355556107E-2</v>
      </c>
      <c r="O24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-2804.259494222244</v>
      </c>
      <c r="P24" s="92">
        <f ca="1">IFERROR(Tabela1[[#This Row],[RESULTADO]]/Tabela1[[#This Row],[FATURAMENTO]],"-")</f>
        <v>-0.16360811746852377</v>
      </c>
      <c r="Q24" s="41">
        <f>IFERROR(I24/H24,"-")</f>
        <v>7.3205118349007696</v>
      </c>
      <c r="R24" s="42">
        <f>_xlfn.XLOOKUP(C24,'Telemetria Sighra'!F:F,'Telemetria Sighra'!S:S,0)</f>
        <v>1.6041996368992566</v>
      </c>
      <c r="S24" s="44">
        <f>_xlfn.XLOOKUP(Tabela1[[#This Row],[PLACA]],'Telemetria Sighra'!F:F,'Telemetria Sighra'!I:I,0)</f>
        <v>1459.65</v>
      </c>
      <c r="T24" s="104">
        <f>IFERROR((Tabela1[[#This Row],[LITROS CONSUMIDOS]]*$U$1)/Tabela1[[#This Row],[HODÔMETRO]],"-")</f>
        <v>3.7404863798272747</v>
      </c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spans="1:36" ht="15.6" x14ac:dyDescent="0.3">
      <c r="A25" s="37" t="s">
        <v>39</v>
      </c>
      <c r="B25" s="37">
        <v>2017</v>
      </c>
      <c r="C25" s="38" t="s">
        <v>67</v>
      </c>
      <c r="D25" s="38" t="s">
        <v>43</v>
      </c>
      <c r="E25" s="38" t="str">
        <f>IFERROR(_xlfn.XLOOKUP(Tabela1[[#This Row],[PLACA]],'Telemetria Sighra'!F:F,'Telemetria Sighra'!T:T),"NÃO EMBARCADO")</f>
        <v>VLADEMIR JORGE SANTOS - 208</v>
      </c>
      <c r="F25" s="44" cm="1">
        <f t="array" ref="F25">SUMPRODUCT((ISNUMBER(FIND(C25,Faturamento!$F$2:$F$1014)))*(Faturamento!$AA$2:$AA$1014))</f>
        <v>1003</v>
      </c>
      <c r="G25" s="44">
        <f>Tabela1[[#This Row],[HODÔMETRO]]-Tabela1[[#This Row],[KM CARREGADO]]</f>
        <v>1521.6700000000419</v>
      </c>
      <c r="H25" s="39">
        <f>_xlfn.XLOOKUP(C25,'Telemetria Sighra'!F:F,'Telemetria Sighra'!R:R,0)</f>
        <v>2524.6700000000419</v>
      </c>
      <c r="I25" s="71">
        <f>SUMIF(Faturamento!AC:AC,C25,Faturamento!T:T)</f>
        <v>14527.51</v>
      </c>
      <c r="J25" s="80" cm="1">
        <f t="array" ref="J25">SUMPRODUCT((ISNUMBER(FIND(C25,Faturamento!$F$2:$F$1014)))*(Faturamento!$R$2:$R$1014))</f>
        <v>128653</v>
      </c>
      <c r="K25" s="45">
        <f ca="1">$AD$2/30*$AA$1</f>
        <v>7856.0195277777784</v>
      </c>
      <c r="L25" s="45">
        <v>3.55</v>
      </c>
      <c r="M25" s="45">
        <v>47896</v>
      </c>
      <c r="N25" s="107">
        <f ca="1">Tabela1[[#This Row],[RESULTADO]]/Tabela1[[#This Row],[EBITDA ESTIMADO]]</f>
        <v>-4.7834642303698161E-2</v>
      </c>
      <c r="O25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-2291.088027777927</v>
      </c>
      <c r="P25" s="92">
        <f ca="1">IFERROR(Tabela1[[#This Row],[RESULTADO]]/Tabela1[[#This Row],[FATURAMENTO]],"-")</f>
        <v>-0.15770686289515043</v>
      </c>
      <c r="Q25" s="41">
        <f>IFERROR(I25/H25,"-")</f>
        <v>5.7542213437794878</v>
      </c>
      <c r="R25" s="42">
        <f>_xlfn.XLOOKUP(C25,'Telemetria Sighra'!F:F,'Telemetria Sighra'!S:S,0)</f>
        <v>2.3209876543209877</v>
      </c>
      <c r="S25" s="44">
        <f>_xlfn.XLOOKUP(Tabela1[[#This Row],[PLACA]],'Telemetria Sighra'!F:F,'Telemetria Sighra'!I:I,0)</f>
        <v>1087.83</v>
      </c>
      <c r="T25" s="104">
        <f>IFERROR((Tabela1[[#This Row],[LITROS CONSUMIDOS]]*$U$1)/Tabela1[[#This Row],[HODÔMETRO]],"-")</f>
        <v>2.5852804524947386</v>
      </c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spans="1:36" ht="15.6" x14ac:dyDescent="0.3">
      <c r="A26" s="37" t="s">
        <v>32</v>
      </c>
      <c r="B26" s="37">
        <v>2023</v>
      </c>
      <c r="C26" s="38" t="s">
        <v>71</v>
      </c>
      <c r="D26" s="38" t="s">
        <v>34</v>
      </c>
      <c r="E26" s="38" t="str">
        <f>IFERROR(_xlfn.XLOOKUP(Tabela1[[#This Row],[PLACA]],'Telemetria Sighra'!F:F,'Telemetria Sighra'!T:T),"NÃO EMBARCADO")</f>
        <v>LUIZ CEZAR KELCZESKI - 50073</v>
      </c>
      <c r="F26" s="44" cm="1">
        <f t="array" ref="F26">SUMPRODUCT((ISNUMBER(FIND(C26,Faturamento!$F$2:$F$1014)))*(Faturamento!$AA$2:$AA$1014))</f>
        <v>1212</v>
      </c>
      <c r="G26" s="44">
        <f>Tabela1[[#This Row],[HODÔMETRO]]-Tabela1[[#This Row],[KM CARREGADO]]</f>
        <v>892.04000000000815</v>
      </c>
      <c r="H26" s="39">
        <f>_xlfn.XLOOKUP(C26,'Telemetria Sighra'!F:F,'Telemetria Sighra'!R:R,0)</f>
        <v>2104.0400000000081</v>
      </c>
      <c r="I26" s="71">
        <f>SUMIF(Faturamento!AC:AC,C26,Faturamento!T:T)</f>
        <v>17284.100000000002</v>
      </c>
      <c r="J26" s="80" cm="1">
        <f t="array" ref="J26">SUMPRODUCT((ISNUMBER(FIND(C26,Faturamento!$F$2:$F$1014)))*(Faturamento!$R$2:$R$1014))</f>
        <v>57345</v>
      </c>
      <c r="K26" s="40">
        <f ca="1">$AH$2/30*$AA$1</f>
        <v>9479.7957222222212</v>
      </c>
      <c r="L26" s="40">
        <v>4.4694000000000003</v>
      </c>
      <c r="M26" s="40">
        <v>39990</v>
      </c>
      <c r="N26" s="92">
        <f ca="1">Tabela1[[#This Row],[RESULTADO]]/Tabela1[[#This Row],[EBITDA ESTIMADO]]</f>
        <v>-3.9997301781001644E-2</v>
      </c>
      <c r="O26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-1599.4920982222557</v>
      </c>
      <c r="P26" s="92">
        <f ca="1">IFERROR(Tabela1[[#This Row],[RESULTADO]]/Tabela1[[#This Row],[FATURAMENTO]],"-")</f>
        <v>-9.2541243004973101E-2</v>
      </c>
      <c r="Q26" s="41">
        <f>IFERROR(I26/H26,"-")</f>
        <v>8.2147202524666518</v>
      </c>
      <c r="R26" s="42">
        <f>_xlfn.XLOOKUP(C26,'Telemetria Sighra'!F:F,'Telemetria Sighra'!S:S,0)</f>
        <v>1.0146153289775055</v>
      </c>
      <c r="S26" s="44">
        <f>_xlfn.XLOOKUP(Tabela1[[#This Row],[PLACA]],'Telemetria Sighra'!F:F,'Telemetria Sighra'!I:I,0)</f>
        <v>2073.85</v>
      </c>
      <c r="T26" s="104">
        <f>IFERROR((Tabela1[[#This Row],[LITROS CONSUMIDOS]]*$U$1)/Tabela1[[#This Row],[HODÔMETRO]],"-")</f>
        <v>5.9139084808273372</v>
      </c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spans="1:36" ht="15.6" x14ac:dyDescent="0.3">
      <c r="A27" s="37" t="s">
        <v>32</v>
      </c>
      <c r="B27" s="37">
        <v>2024</v>
      </c>
      <c r="C27" s="38" t="s">
        <v>74</v>
      </c>
      <c r="D27" s="38" t="s">
        <v>34</v>
      </c>
      <c r="E27" s="38" t="str">
        <f>IFERROR(_xlfn.XLOOKUP(Tabela1[[#This Row],[PLACA]],'Telemetria Sighra'!F:F,'Telemetria Sighra'!T:T),"NÃO EMBARCADO")</f>
        <v>FRANCISCO JOSE ESTEVES - 162</v>
      </c>
      <c r="F27" s="44" cm="1">
        <f t="array" ref="F27">SUMPRODUCT((ISNUMBER(FIND(C27,Faturamento!$F$2:$F$1014)))*(Faturamento!$AA$2:$AA$1014))</f>
        <v>1346</v>
      </c>
      <c r="G27" s="44">
        <f>Tabela1[[#This Row],[HODÔMETRO]]-Tabela1[[#This Row],[KM CARREGADO]]</f>
        <v>1413.25</v>
      </c>
      <c r="H27" s="39">
        <f>_xlfn.XLOOKUP(C27,'Telemetria Sighra'!F:F,'Telemetria Sighra'!R:R,0)</f>
        <v>2759.25</v>
      </c>
      <c r="I27" s="71">
        <f>SUMIF(Faturamento!AC:AC,C27,Faturamento!T:T)</f>
        <v>20288.440000000002</v>
      </c>
      <c r="J27" s="80" cm="1">
        <f t="array" ref="J27">SUMPRODUCT((ISNUMBER(FIND(C27,Faturamento!$F$2:$F$1014)))*(Faturamento!$R$2:$R$1014))</f>
        <v>245307</v>
      </c>
      <c r="K27" s="40">
        <f ca="1">$AH$2/30*$AA$1</f>
        <v>9479.7957222222212</v>
      </c>
      <c r="L27" s="40">
        <v>4.4694000000000003</v>
      </c>
      <c r="M27" s="40">
        <v>39990</v>
      </c>
      <c r="N27" s="92">
        <f ca="1">Tabela1[[#This Row],[RESULTADO]]/Tabela1[[#This Row],[EBITDA ESTIMADO]]</f>
        <v>-3.8098216359645394E-2</v>
      </c>
      <c r="O27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-1523.5476722222193</v>
      </c>
      <c r="P27" s="92">
        <f ca="1">IFERROR(Tabela1[[#This Row],[RESULTADO]]/Tabela1[[#This Row],[FATURAMENTO]],"-")</f>
        <v>-7.5094372569907739E-2</v>
      </c>
      <c r="Q27" s="41">
        <f>IFERROR(I27/H27,"-")</f>
        <v>7.3528821237655171</v>
      </c>
      <c r="R27" s="42">
        <f>_xlfn.XLOOKUP(C27,'Telemetria Sighra'!F:F,'Telemetria Sighra'!S:S,0)</f>
        <v>1.8247753317947666</v>
      </c>
      <c r="S27" s="44">
        <f>_xlfn.XLOOKUP(Tabela1[[#This Row],[PLACA]],'Telemetria Sighra'!F:F,'Telemetria Sighra'!I:I,0)</f>
        <v>1512.23</v>
      </c>
      <c r="T27" s="104">
        <f>IFERROR((Tabela1[[#This Row],[LITROS CONSUMIDOS]]*$U$1)/Tabela1[[#This Row],[HODÔMETRO]],"-")</f>
        <v>3.2883500951345477</v>
      </c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ht="15.6" x14ac:dyDescent="0.3">
      <c r="A28" s="37" t="s">
        <v>28</v>
      </c>
      <c r="B28" s="37">
        <v>2020</v>
      </c>
      <c r="C28" s="38" t="s">
        <v>75</v>
      </c>
      <c r="D28" s="38" t="s">
        <v>34</v>
      </c>
      <c r="E28" s="38" t="str">
        <f>IFERROR(_xlfn.XLOOKUP(Tabela1[[#This Row],[PLACA]],'Telemetria Sighra'!F:F,'Telemetria Sighra'!T:T),"NÃO EMBARCADO")</f>
        <v>DANIEL EUFRAZIO - 245</v>
      </c>
      <c r="F28" s="44" cm="1">
        <f t="array" ref="F28">SUMPRODUCT((ISNUMBER(FIND(C28,Faturamento!$F$2:$F$1014)))*(Faturamento!$AA$2:$AA$1014))</f>
        <v>1138</v>
      </c>
      <c r="G28" s="44">
        <f>Tabela1[[#This Row],[HODÔMETRO]]-Tabela1[[#This Row],[KM CARREGADO]]</f>
        <v>533</v>
      </c>
      <c r="H28" s="39">
        <f>_xlfn.XLOOKUP(C28,'Telemetria Sighra'!F:F,'Telemetria Sighra'!R:R,0)</f>
        <v>1671</v>
      </c>
      <c r="I28" s="71">
        <f>SUMIF(Faturamento!AC:AC,C28,Faturamento!T:T)</f>
        <v>15955.98</v>
      </c>
      <c r="J28" s="80" cm="1">
        <f t="array" ref="J28">SUMPRODUCT((ISNUMBER(FIND(C28,Faturamento!$F$2:$F$1014)))*(Faturamento!$R$2:$R$1014))</f>
        <v>117574</v>
      </c>
      <c r="K28" s="40">
        <f ca="1">$AH$2/30*$AA$1</f>
        <v>9479.7957222222212</v>
      </c>
      <c r="L28" s="40">
        <v>4.4694000000000003</v>
      </c>
      <c r="M28" s="40">
        <v>39990</v>
      </c>
      <c r="N28" s="92">
        <f ca="1">Tabela1[[#This Row],[RESULTADO]]/Tabela1[[#This Row],[EBITDA ESTIMADO]]</f>
        <v>-2.4810780750743229E-2</v>
      </c>
      <c r="O28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-992.18312222222175</v>
      </c>
      <c r="P28" s="92">
        <f ca="1">IFERROR(Tabela1[[#This Row],[RESULTADO]]/Tabela1[[#This Row],[FATURAMENTO]],"-")</f>
        <v>-6.2182524810273122E-2</v>
      </c>
      <c r="Q28" s="41">
        <f>IFERROR(I28/H28,"-")</f>
        <v>9.5487612208258525</v>
      </c>
      <c r="R28" s="42">
        <f>_xlfn.XLOOKUP(C28,'Telemetria Sighra'!F:F,'Telemetria Sighra'!S:S,0)</f>
        <v>1.2932704957360202</v>
      </c>
      <c r="S28" s="44">
        <f>_xlfn.XLOOKUP(Tabela1[[#This Row],[PLACA]],'Telemetria Sighra'!F:F,'Telemetria Sighra'!I:I,0)</f>
        <v>1292.22</v>
      </c>
      <c r="T28" s="104">
        <f>IFERROR((Tabela1[[#This Row],[LITROS CONSUMIDOS]]*$U$1)/Tabela1[[#This Row],[HODÔMETRO]],"-")</f>
        <v>4.6399281867145419</v>
      </c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</row>
    <row r="29" spans="1:36" ht="15.6" x14ac:dyDescent="0.3">
      <c r="A29" s="37" t="s">
        <v>32</v>
      </c>
      <c r="B29" s="37">
        <v>2023</v>
      </c>
      <c r="C29" s="38" t="s">
        <v>73</v>
      </c>
      <c r="D29" s="38" t="s">
        <v>52</v>
      </c>
      <c r="E29" s="38" t="str">
        <f>IFERROR(_xlfn.XLOOKUP(Tabela1[[#This Row],[PLACA]],'Telemetria Sighra'!F:F,'Telemetria Sighra'!T:T),"NÃO EMBARCADO")</f>
        <v>ALAOR BATISTA DE FREITAS - 193</v>
      </c>
      <c r="F29" s="44" cm="1">
        <f t="array" ref="F29">SUMPRODUCT((ISNUMBER(FIND(C29,Faturamento!$F$2:$F$1014)))*(Faturamento!$AA$2:$AA$1014))</f>
        <v>1286</v>
      </c>
      <c r="G29" s="44">
        <f>Tabela1[[#This Row],[HODÔMETRO]]-Tabela1[[#This Row],[KM CARREGADO]]</f>
        <v>1576.7399999999907</v>
      </c>
      <c r="H29" s="39">
        <f>_xlfn.XLOOKUP(C29,'Telemetria Sighra'!F:F,'Telemetria Sighra'!R:R,0)</f>
        <v>2862.7399999999907</v>
      </c>
      <c r="I29" s="71">
        <f>SUMIF(Faturamento!AC:AC,C29,Faturamento!T:T)</f>
        <v>21626.84</v>
      </c>
      <c r="J29" s="80" cm="1">
        <f t="array" ref="J29">SUMPRODUCT((ISNUMBER(FIND(C29,Faturamento!$F$2:$F$1014)))*(Faturamento!$R$2:$R$1014))</f>
        <v>245397</v>
      </c>
      <c r="K29" s="40">
        <f ca="1">$AH$2/30*$AA$1</f>
        <v>9479.7957222222212</v>
      </c>
      <c r="L29" s="40">
        <v>4.4694000000000003</v>
      </c>
      <c r="M29" s="40">
        <v>40000</v>
      </c>
      <c r="N29" s="92">
        <f ca="1">Tabela1[[#This Row],[RESULTADO]]/Tabela1[[#This Row],[EBITDA ESTIMADO]]</f>
        <v>-1.6192146955554518E-2</v>
      </c>
      <c r="O29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-647.68587822218069</v>
      </c>
      <c r="P29" s="92">
        <f ca="1">IFERROR(Tabela1[[#This Row],[RESULTADO]]/Tabela1[[#This Row],[FATURAMENTO]],"-")</f>
        <v>-2.9948243859120458E-2</v>
      </c>
      <c r="Q29" s="41">
        <f>IFERROR(I29/H29,"-")</f>
        <v>7.5545945492779891</v>
      </c>
      <c r="R29" s="42">
        <f>_xlfn.XLOOKUP(C29,'Telemetria Sighra'!F:F,'Telemetria Sighra'!S:S,0)</f>
        <v>1.2487200518593975</v>
      </c>
      <c r="S29" s="44">
        <f>_xlfn.XLOOKUP(Tabela1[[#This Row],[PLACA]],'Telemetria Sighra'!F:F,'Telemetria Sighra'!I:I,0)</f>
        <v>1511.78</v>
      </c>
      <c r="T29" s="104">
        <f>IFERROR((Tabela1[[#This Row],[LITROS CONSUMIDOS]]*$U$1)/Tabela1[[#This Row],[HODÔMETRO]],"-")</f>
        <v>3.1685308480686438</v>
      </c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ht="15.6" x14ac:dyDescent="0.3">
      <c r="A30" s="37" t="s">
        <v>32</v>
      </c>
      <c r="B30" s="37">
        <v>2023</v>
      </c>
      <c r="C30" s="38" t="s">
        <v>70</v>
      </c>
      <c r="D30" s="38" t="s">
        <v>52</v>
      </c>
      <c r="E30" s="38" t="str">
        <f>IFERROR(_xlfn.XLOOKUP(Tabela1[[#This Row],[PLACA]],'Telemetria Sighra'!F:F,'Telemetria Sighra'!T:T),"NÃO EMBARCADO")</f>
        <v>ANDRIELIA APARECIDA GOMES - 238</v>
      </c>
      <c r="F30" s="44" cm="1">
        <f t="array" ref="F30">SUMPRODUCT((ISNUMBER(FIND(C30,Faturamento!$F$2:$F$1014)))*(Faturamento!$AA$2:$AA$1014))</f>
        <v>1346</v>
      </c>
      <c r="G30" s="44">
        <f>Tabela1[[#This Row],[HODÔMETRO]]-Tabela1[[#This Row],[KM CARREGADO]]</f>
        <v>1136.6199999999953</v>
      </c>
      <c r="H30" s="39">
        <f>_xlfn.XLOOKUP(C30,'Telemetria Sighra'!F:F,'Telemetria Sighra'!R:R,0)</f>
        <v>2482.6199999999953</v>
      </c>
      <c r="I30" s="71">
        <f>SUMIF(Faturamento!AC:AC,C30,Faturamento!T:T)</f>
        <v>20289.849999999999</v>
      </c>
      <c r="J30" s="80" cm="1">
        <f t="array" ref="J30">SUMPRODUCT((ISNUMBER(FIND(C30,Faturamento!$F$2:$F$1014)))*(Faturamento!$R$2:$R$1014))</f>
        <v>243351</v>
      </c>
      <c r="K30" s="40">
        <f ca="1">$AH$2/30*$AA$1</f>
        <v>9479.7957222222212</v>
      </c>
      <c r="L30" s="40">
        <v>4.4694000000000003</v>
      </c>
      <c r="M30" s="40">
        <v>40000</v>
      </c>
      <c r="N30" s="92">
        <f ca="1">Tabela1[[#This Row],[RESULTADO]]/Tabela1[[#This Row],[EBITDA ESTIMADO]]</f>
        <v>-7.1441887555550691E-3</v>
      </c>
      <c r="O30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-285.76755022220277</v>
      </c>
      <c r="P30" s="92">
        <f ca="1">IFERROR(Tabela1[[#This Row],[RESULTADO]]/Tabela1[[#This Row],[FATURAMENTO]],"-")</f>
        <v>-1.4084261353445333E-2</v>
      </c>
      <c r="Q30" s="41">
        <f>IFERROR(I30/H30,"-")</f>
        <v>8.1727570067106665</v>
      </c>
      <c r="R30" s="42">
        <f>_xlfn.XLOOKUP(C30,'Telemetria Sighra'!F:F,'Telemetria Sighra'!S:S,0)</f>
        <v>1.7649404656122267</v>
      </c>
      <c r="S30" s="44">
        <f>_xlfn.XLOOKUP(Tabela1[[#This Row],[PLACA]],'Telemetria Sighra'!F:F,'Telemetria Sighra'!I:I,0)</f>
        <v>1406.75</v>
      </c>
      <c r="T30" s="104">
        <f>IFERROR((Tabela1[[#This Row],[LITROS CONSUMIDOS]]*$U$1)/Tabela1[[#This Row],[HODÔMETRO]],"-")</f>
        <v>3.399835657490883</v>
      </c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 spans="1:36" ht="15.6" x14ac:dyDescent="0.3">
      <c r="A31" s="37" t="s">
        <v>32</v>
      </c>
      <c r="B31" s="37">
        <v>2021</v>
      </c>
      <c r="C31" s="38" t="s">
        <v>54</v>
      </c>
      <c r="D31" s="38" t="s">
        <v>34</v>
      </c>
      <c r="E31" s="38" t="str">
        <f>IFERROR(_xlfn.XLOOKUP(Tabela1[[#This Row],[PLACA]],'Telemetria Sighra'!F:F,'Telemetria Sighra'!T:T),"NÃO EMBARCADO")</f>
        <v>MARIO SERGIO DOS SANTOS ANDREOLA - 50101</v>
      </c>
      <c r="F31" s="44" cm="1">
        <f t="array" ref="F31">SUMPRODUCT((ISNUMBER(FIND(C31,Faturamento!$F$2:$F$1014)))*(Faturamento!$AA$2:$AA$1014))</f>
        <v>1034</v>
      </c>
      <c r="G31" s="44">
        <f>Tabela1[[#This Row],[HODÔMETRO]]-Tabela1[[#This Row],[KM CARREGADO]]</f>
        <v>589.46999999997206</v>
      </c>
      <c r="H31" s="39">
        <f>_xlfn.XLOOKUP(C31,'Telemetria Sighra'!F:F,'Telemetria Sighra'!R:R,0)</f>
        <v>1623.4699999999721</v>
      </c>
      <c r="I31" s="71">
        <f>SUMIF(Faturamento!AC:AC,C31,Faturamento!T:T)</f>
        <v>17166.079999999998</v>
      </c>
      <c r="J31" s="80" cm="1">
        <f t="array" ref="J31">SUMPRODUCT((ISNUMBER(FIND(C31,Faturamento!$F$2:$F$1014)))*(Faturamento!$R$2:$R$1014))</f>
        <v>59598</v>
      </c>
      <c r="K31" s="40">
        <f ca="1">$AH$2/30*$AA$1</f>
        <v>9479.7957222222212</v>
      </c>
      <c r="L31" s="40">
        <v>4.4694000000000003</v>
      </c>
      <c r="M31" s="40">
        <v>39990</v>
      </c>
      <c r="N31" s="92">
        <f ca="1">Tabela1[[#This Row],[RESULTADO]]/Tabela1[[#This Row],[EBITDA ESTIMADO]]</f>
        <v>1.0761376838657199E-2</v>
      </c>
      <c r="O31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430.34745977790135</v>
      </c>
      <c r="P31" s="92">
        <f ca="1">IFERROR(Tabela1[[#This Row],[RESULTADO]]/Tabela1[[#This Row],[FATURAMENTO]],"-")</f>
        <v>2.5069640813622063E-2</v>
      </c>
      <c r="Q31" s="41">
        <f>IFERROR(I31/H31,"-")</f>
        <v>10.573697080944084</v>
      </c>
      <c r="R31" s="42">
        <f>_xlfn.XLOOKUP(C31,'Telemetria Sighra'!F:F,'Telemetria Sighra'!S:S,0)</f>
        <v>1.3322583821574514</v>
      </c>
      <c r="S31" s="44">
        <f>_xlfn.XLOOKUP(Tabela1[[#This Row],[PLACA]],'Telemetria Sighra'!F:F,'Telemetria Sighra'!I:I,0)</f>
        <v>1218.6600000000001</v>
      </c>
      <c r="T31" s="104">
        <f>IFERROR((Tabela1[[#This Row],[LITROS CONSUMIDOS]]*$U$1)/Tabela1[[#This Row],[HODÔMETRO]],"-")</f>
        <v>4.5039082951949387</v>
      </c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spans="1:36" ht="15.6" x14ac:dyDescent="0.3">
      <c r="A32" s="37" t="s">
        <v>39</v>
      </c>
      <c r="B32" s="37">
        <v>2016</v>
      </c>
      <c r="C32" s="38" t="s">
        <v>69</v>
      </c>
      <c r="D32" s="38" t="s">
        <v>41</v>
      </c>
      <c r="E32" s="38" t="str">
        <f>IFERROR(_xlfn.XLOOKUP(Tabela1[[#This Row],[PLACA]],'Telemetria Sighra'!F:F,'Telemetria Sighra'!T:T),"NÃO EMBARCADO")</f>
        <v>FRANCISCO ADEMIR MORO JUNIOR - 216</v>
      </c>
      <c r="F32" s="44" cm="1">
        <f t="array" ref="F32">SUMPRODUCT((ISNUMBER(FIND(C32,Faturamento!$F$2:$F$1014)))*(Faturamento!$AA$2:$AA$1014))</f>
        <v>1346</v>
      </c>
      <c r="G32" s="44">
        <f>Tabela1[[#This Row],[HODÔMETRO]]-Tabela1[[#This Row],[KM CARREGADO]]</f>
        <v>1326.6300000000047</v>
      </c>
      <c r="H32" s="39">
        <f>_xlfn.XLOOKUP(C32,'Telemetria Sighra'!F:F,'Telemetria Sighra'!R:R,0)</f>
        <v>2672.6300000000047</v>
      </c>
      <c r="I32" s="71">
        <f>SUMIF(Faturamento!AC:AC,C32,Faturamento!T:T)</f>
        <v>17938.650000000001</v>
      </c>
      <c r="J32" s="80" cm="1">
        <f t="array" ref="J32">SUMPRODUCT((ISNUMBER(FIND(C32,Faturamento!$F$2:$F$1014)))*(Faturamento!$R$2:$R$1014))</f>
        <v>189190</v>
      </c>
      <c r="K32" s="45">
        <f ca="1">$AD$2/30*$AA$1</f>
        <v>7856.0195277777784</v>
      </c>
      <c r="L32" s="45">
        <v>3.55</v>
      </c>
      <c r="M32" s="45">
        <v>63000</v>
      </c>
      <c r="N32" s="107">
        <f ca="1">Tabela1[[#This Row],[RESULTADO]]/Tabela1[[#This Row],[EBITDA ESTIMADO]]</f>
        <v>9.4411741622572581E-3</v>
      </c>
      <c r="O32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594.79397222220723</v>
      </c>
      <c r="P32" s="92">
        <f ca="1">IFERROR(Tabela1[[#This Row],[RESULTADO]]/Tabela1[[#This Row],[FATURAMENTO]],"-")</f>
        <v>3.3157120085525231E-2</v>
      </c>
      <c r="Q32" s="41">
        <f>IFERROR(I32/H32,"-")</f>
        <v>6.7119840756109044</v>
      </c>
      <c r="R32" s="42">
        <f>_xlfn.XLOOKUP(C32,'Telemetria Sighra'!F:F,'Telemetria Sighra'!S:S,0)</f>
        <v>2.2072470829170001</v>
      </c>
      <c r="S32" s="44">
        <f>_xlfn.XLOOKUP(Tabela1[[#This Row],[PLACA]],'Telemetria Sighra'!F:F,'Telemetria Sighra'!I:I,0)</f>
        <v>1210.97</v>
      </c>
      <c r="T32" s="104">
        <f>IFERROR((Tabela1[[#This Row],[LITROS CONSUMIDOS]]*$U$1)/Tabela1[[#This Row],[HODÔMETRO]],"-")</f>
        <v>2.7186030239876029</v>
      </c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spans="1:36" ht="15.6" x14ac:dyDescent="0.3">
      <c r="A33" s="37" t="s">
        <v>45</v>
      </c>
      <c r="B33" s="37">
        <v>2025</v>
      </c>
      <c r="C33" s="38" t="s">
        <v>76</v>
      </c>
      <c r="D33" s="38" t="s">
        <v>37</v>
      </c>
      <c r="E33" s="38" t="str">
        <f>IFERROR(_xlfn.XLOOKUP(Tabela1[[#This Row],[PLACA]],'Telemetria Sighra'!F:F,'Telemetria Sighra'!T:T),"NÃO EMBARCADO")</f>
        <v>EDENIR MALOSTI PEREIRA - 72</v>
      </c>
      <c r="F33" s="44" cm="1">
        <f t="array" ref="F33">SUMPRODUCT((ISNUMBER(FIND(C33,Faturamento!$F$2:$F$1014)))*(Faturamento!$AA$2:$AA$1014))</f>
        <v>1506</v>
      </c>
      <c r="G33" s="44">
        <f>Tabela1[[#This Row],[HODÔMETRO]]-Tabela1[[#This Row],[KM CARREGADO]]</f>
        <v>1777.3999999999942</v>
      </c>
      <c r="H33" s="39">
        <f>_xlfn.XLOOKUP(C33,'Telemetria Sighra'!F:F,'Telemetria Sighra'!R:R,0)</f>
        <v>3283.3999999999942</v>
      </c>
      <c r="I33" s="71">
        <f>SUMIF(Faturamento!AC:AC,C33,Faturamento!T:T)</f>
        <v>25037.32</v>
      </c>
      <c r="J33" s="80" cm="1">
        <f t="array" ref="J33">SUMPRODUCT((ISNUMBER(FIND(C33,Faturamento!$F$2:$F$1014)))*(Faturamento!$R$2:$R$1014))</f>
        <v>234308</v>
      </c>
      <c r="K33" s="40">
        <f ca="1">$AH$2/30*$AA$1</f>
        <v>9479.7957222222212</v>
      </c>
      <c r="L33" s="40">
        <v>4.4694000000000003</v>
      </c>
      <c r="M33" s="40">
        <v>69761</v>
      </c>
      <c r="N33" s="92">
        <f ca="1">Tabela1[[#This Row],[RESULTADO]]/Tabela1[[#This Row],[EBITDA ESTIMADO]]</f>
        <v>1.2653148862226795E-2</v>
      </c>
      <c r="O33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882.69631777780342</v>
      </c>
      <c r="P33" s="92">
        <f ca="1">IFERROR(Tabela1[[#This Row],[RESULTADO]]/Tabela1[[#This Row],[FATURAMENTO]],"-")</f>
        <v>3.5255223713153143E-2</v>
      </c>
      <c r="Q33" s="41">
        <f>IFERROR(I33/H33,"-")</f>
        <v>7.6254248644697702</v>
      </c>
      <c r="R33" s="42">
        <f>_xlfn.XLOOKUP(C33,'Telemetria Sighra'!F:F,'Telemetria Sighra'!S:S,0)</f>
        <v>1.8695350174503675</v>
      </c>
      <c r="S33" s="44">
        <f>_xlfn.XLOOKUP(Tabela1[[#This Row],[PLACA]],'Telemetria Sighra'!F:F,'Telemetria Sighra'!I:I,0)</f>
        <v>1756.41</v>
      </c>
      <c r="T33" s="104">
        <f>IFERROR((Tabela1[[#This Row],[LITROS CONSUMIDOS]]*$U$1)/Tabela1[[#This Row],[HODÔMETRO]],"-")</f>
        <v>3.2096180788207405</v>
      </c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 ht="15.6" x14ac:dyDescent="0.3">
      <c r="A34" s="37" t="s">
        <v>45</v>
      </c>
      <c r="B34" s="37">
        <v>2025</v>
      </c>
      <c r="C34" s="38" t="s">
        <v>77</v>
      </c>
      <c r="D34" s="38" t="s">
        <v>37</v>
      </c>
      <c r="E34" s="38" t="str">
        <f>IFERROR(_xlfn.XLOOKUP(Tabela1[[#This Row],[PLACA]],'Telemetria Sighra'!F:F,'Telemetria Sighra'!T:T),"NÃO EMBARCADO")</f>
        <v>ROBERTO RIVELINO CABRAL - 234</v>
      </c>
      <c r="F34" s="44" cm="1">
        <f t="array" ref="F34">SUMPRODUCT((ISNUMBER(FIND(C34,Faturamento!$F$2:$F$1014)))*(Faturamento!$AA$2:$AA$1014))</f>
        <v>1346</v>
      </c>
      <c r="G34" s="44">
        <f>Tabela1[[#This Row],[HODÔMETRO]]-Tabela1[[#This Row],[KM CARREGADO]]</f>
        <v>849.83999999999651</v>
      </c>
      <c r="H34" s="39">
        <f>_xlfn.XLOOKUP(C34,'Telemetria Sighra'!F:F,'Telemetria Sighra'!R:R,0)</f>
        <v>2195.8399999999965</v>
      </c>
      <c r="I34" s="71">
        <f>SUMIF(Faturamento!AC:AC,C34,Faturamento!T:T)</f>
        <v>20291.690000000002</v>
      </c>
      <c r="J34" s="80" cm="1">
        <f t="array" ref="J34">SUMPRODUCT((ISNUMBER(FIND(C34,Faturamento!$F$2:$F$1014)))*(Faturamento!$R$2:$R$1014))</f>
        <v>247351</v>
      </c>
      <c r="K34" s="40">
        <f ca="1">$AH$2/30*$AA$1</f>
        <v>9479.7957222222212</v>
      </c>
      <c r="L34" s="40">
        <v>4.4694000000000003</v>
      </c>
      <c r="M34" s="40">
        <v>69761</v>
      </c>
      <c r="N34" s="92">
        <f ca="1">Tabela1[[#This Row],[RESULTADO]]/Tabela1[[#This Row],[EBITDA ESTIMADO]]</f>
        <v>1.4303220736196384E-2</v>
      </c>
      <c r="O34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997.80698177779595</v>
      </c>
      <c r="P34" s="92">
        <f ca="1">IFERROR(Tabela1[[#This Row],[RESULTADO]]/Tabela1[[#This Row],[FATURAMENTO]],"-")</f>
        <v>4.9173182804280756E-2</v>
      </c>
      <c r="Q34" s="41">
        <f>IFERROR(I34/H34,"-")</f>
        <v>9.2409692873797891</v>
      </c>
      <c r="R34" s="42">
        <f>_xlfn.XLOOKUP(C34,'Telemetria Sighra'!F:F,'Telemetria Sighra'!S:S,0)</f>
        <v>1.8177897707990169</v>
      </c>
      <c r="S34" s="44">
        <f>_xlfn.XLOOKUP(Tabela1[[#This Row],[PLACA]],'Telemetria Sighra'!F:F,'Telemetria Sighra'!I:I,0)</f>
        <v>1208.1099999999999</v>
      </c>
      <c r="T34" s="104">
        <f>IFERROR((Tabela1[[#This Row],[LITROS CONSUMIDOS]]*$U$1)/Tabela1[[#This Row],[HODÔMETRO]],"-")</f>
        <v>3.3010875109297633</v>
      </c>
      <c r="U34" s="36"/>
      <c r="V34" s="36"/>
      <c r="W34" s="36"/>
      <c r="X34" s="36"/>
      <c r="Y34" s="47"/>
      <c r="Z34" s="47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 ht="15.6" x14ac:dyDescent="0.3">
      <c r="A35" s="37" t="s">
        <v>45</v>
      </c>
      <c r="B35" s="37">
        <v>2025</v>
      </c>
      <c r="C35" s="38" t="s">
        <v>49</v>
      </c>
      <c r="D35" s="38" t="s">
        <v>37</v>
      </c>
      <c r="E35" s="38" t="str">
        <f>IFERROR(_xlfn.XLOOKUP(Tabela1[[#This Row],[PLACA]],'Telemetria Sighra'!F:F,'Telemetria Sighra'!T:T),"NÃO EMBARCADO")</f>
        <v>JOSE ARIMATEIA DA SILVA - 63</v>
      </c>
      <c r="F35" s="44" cm="1">
        <f t="array" ref="F35">SUMPRODUCT((ISNUMBER(FIND(C35,Faturamento!$F$2:$F$1014)))*(Faturamento!$AA$2:$AA$1014))</f>
        <v>856</v>
      </c>
      <c r="G35" s="44">
        <f>Tabela1[[#This Row],[HODÔMETRO]]-Tabela1[[#This Row],[KM CARREGADO]]</f>
        <v>65.509999999994761</v>
      </c>
      <c r="H35" s="39">
        <f>_xlfn.XLOOKUP(C35,'Telemetria Sighra'!F:F,'Telemetria Sighra'!R:R,0)</f>
        <v>921.50999999999476</v>
      </c>
      <c r="I35" s="71">
        <f>SUMIF(Faturamento!AC:AC,C35,Faturamento!T:T)</f>
        <v>14702.75</v>
      </c>
      <c r="J35" s="80" cm="1">
        <f t="array" ref="J35">SUMPRODUCT((ISNUMBER(FIND(C35,Faturamento!$F$2:$F$1014)))*(Faturamento!$R$2:$R$1014))</f>
        <v>116817</v>
      </c>
      <c r="K35" s="40">
        <f ca="1">$AH$2/30*$AA$1</f>
        <v>9479.7957222222212</v>
      </c>
      <c r="L35" s="40">
        <v>4.4694000000000003</v>
      </c>
      <c r="M35" s="40">
        <v>69761</v>
      </c>
      <c r="N35" s="92">
        <f ca="1">Tabela1[[#This Row],[RESULTADO]]/Tabela1[[#This Row],[EBITDA ESTIMADO]]</f>
        <v>1.5830585624887865E-2</v>
      </c>
      <c r="O35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1104.3574837778024</v>
      </c>
      <c r="P35" s="92">
        <f ca="1">IFERROR(Tabela1[[#This Row],[RESULTADO]]/Tabela1[[#This Row],[FATURAMENTO]],"-")</f>
        <v>7.511230781845589E-2</v>
      </c>
      <c r="Q35" s="41">
        <f>IFERROR(I35/H35,"-")</f>
        <v>15.955062885915599</v>
      </c>
      <c r="R35" s="42">
        <f>_xlfn.XLOOKUP(C35,'Telemetria Sighra'!F:F,'Telemetria Sighra'!S:S,0)</f>
        <v>1.8194255256144507</v>
      </c>
      <c r="S35" s="44">
        <f>_xlfn.XLOOKUP(Tabela1[[#This Row],[PLACA]],'Telemetria Sighra'!F:F,'Telemetria Sighra'!I:I,0)</f>
        <v>506.55</v>
      </c>
      <c r="T35" s="104">
        <f>IFERROR((Tabela1[[#This Row],[LITROS CONSUMIDOS]]*$U$1)/Tabela1[[#This Row],[HODÔMETRO]],"-")</f>
        <v>3.2981736497705043</v>
      </c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 spans="1:36" ht="15.6" x14ac:dyDescent="0.3">
      <c r="A36" s="37" t="s">
        <v>32</v>
      </c>
      <c r="B36" s="37">
        <v>2023</v>
      </c>
      <c r="C36" s="38" t="s">
        <v>72</v>
      </c>
      <c r="D36" s="38" t="s">
        <v>57</v>
      </c>
      <c r="E36" s="38" t="str">
        <f>IFERROR(_xlfn.XLOOKUP(Tabela1[[#This Row],[PLACA]],'Telemetria Sighra'!F:F,'Telemetria Sighra'!T:T),"NÃO EMBARCADO")</f>
        <v>RODRIGO DOS SANTOS ALVES - 250</v>
      </c>
      <c r="F36" s="44" cm="1">
        <f t="array" ref="F36">SUMPRODUCT((ISNUMBER(FIND(C36,Faturamento!$F$2:$F$1014)))*(Faturamento!$AA$2:$AA$1014))</f>
        <v>1071</v>
      </c>
      <c r="G36" s="44">
        <f>Tabela1[[#This Row],[HODÔMETRO]]-Tabela1[[#This Row],[KM CARREGADO]]</f>
        <v>940.69000000000233</v>
      </c>
      <c r="H36" s="39">
        <f>_xlfn.XLOOKUP(C36,'Telemetria Sighra'!F:F,'Telemetria Sighra'!R:R,0)</f>
        <v>2011.6900000000023</v>
      </c>
      <c r="I36" s="71">
        <f>SUMIF(Faturamento!AC:AC,C36,Faturamento!T:T)</f>
        <v>19742.8</v>
      </c>
      <c r="J36" s="80" cm="1">
        <f t="array" ref="J36">SUMPRODUCT((ISNUMBER(FIND(C36,Faturamento!$F$2:$F$1014)))*(Faturamento!$R$2:$R$1014))</f>
        <v>177211</v>
      </c>
      <c r="K36" s="40">
        <f ca="1">$AH$2/30*$AA$1</f>
        <v>9479.7957222222212</v>
      </c>
      <c r="L36" s="40">
        <v>4.4694000000000003</v>
      </c>
      <c r="M36" s="40">
        <v>53428</v>
      </c>
      <c r="N36" s="92">
        <f ca="1">Tabela1[[#This Row],[RESULTADO]]/Tabela1[[#This Row],[EBITDA ESTIMADO]]</f>
        <v>2.3806936283929141E-2</v>
      </c>
      <c r="O36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1271.9569917777662</v>
      </c>
      <c r="P36" s="92">
        <f ca="1">IFERROR(Tabela1[[#This Row],[RESULTADO]]/Tabela1[[#This Row],[FATURAMENTO]],"-")</f>
        <v>6.4426372742354993E-2</v>
      </c>
      <c r="Q36" s="41">
        <f>IFERROR(I36/H36,"-")</f>
        <v>9.8140369540038357</v>
      </c>
      <c r="R36" s="42">
        <f>_xlfn.XLOOKUP(C36,'Telemetria Sighra'!F:F,'Telemetria Sighra'!S:S,0)</f>
        <v>1.8929555996725724</v>
      </c>
      <c r="S36" s="44">
        <f>_xlfn.XLOOKUP(Tabela1[[#This Row],[PLACA]],'Telemetria Sighra'!F:F,'Telemetria Sighra'!I:I,0)</f>
        <v>1062.83</v>
      </c>
      <c r="T36" s="104">
        <f>IFERROR((Tabela1[[#This Row],[LITROS CONSUMIDOS]]*$U$1)/Tabela1[[#This Row],[HODÔMETRO]],"-")</f>
        <v>3.1699615745964795</v>
      </c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spans="1:36" ht="15.6" x14ac:dyDescent="0.3">
      <c r="A37" s="37" t="s">
        <v>45</v>
      </c>
      <c r="B37" s="37">
        <v>2025</v>
      </c>
      <c r="C37" s="38" t="s">
        <v>79</v>
      </c>
      <c r="D37" s="38" t="s">
        <v>80</v>
      </c>
      <c r="E37" s="38" t="str">
        <f>IFERROR(_xlfn.XLOOKUP(Tabela1[[#This Row],[PLACA]],'Telemetria Sighra'!F:F,'Telemetria Sighra'!T:T),"NÃO EMBARCADO")</f>
        <v>CLAIR SONAI - 67</v>
      </c>
      <c r="F37" s="44" cm="1">
        <f t="array" ref="F37">SUMPRODUCT((ISNUMBER(FIND(C37,Faturamento!$F$2:$F$1014)))*(Faturamento!$AA$2:$AA$1014))</f>
        <v>1286</v>
      </c>
      <c r="G37" s="44">
        <f>Tabela1[[#This Row],[HODÔMETRO]]-Tabela1[[#This Row],[KM CARREGADO]]</f>
        <v>998.22000000000116</v>
      </c>
      <c r="H37" s="39">
        <f>_xlfn.XLOOKUP(C37,'Telemetria Sighra'!F:F,'Telemetria Sighra'!R:R,0)</f>
        <v>2284.2200000000012</v>
      </c>
      <c r="I37" s="71">
        <f>SUMIF(Faturamento!AC:AC,C37,Faturamento!T:T)</f>
        <v>22714.9</v>
      </c>
      <c r="J37" s="80" cm="1">
        <f t="array" ref="J37">SUMPRODUCT((ISNUMBER(FIND(C37,Faturamento!$F$2:$F$1014)))*(Faturamento!$R$2:$R$1014))</f>
        <v>239819</v>
      </c>
      <c r="K37" s="40">
        <f ca="1">$AH$2/30*$AA$1</f>
        <v>9479.7957222222212</v>
      </c>
      <c r="L37" s="40">
        <v>4.4694000000000003</v>
      </c>
      <c r="M37" s="40">
        <v>34268</v>
      </c>
      <c r="N37" s="92">
        <f ca="1">Tabela1[[#This Row],[RESULTADO]]/Tabela1[[#This Row],[EBITDA ESTIMADO]]</f>
        <v>8.8304290001685978E-2</v>
      </c>
      <c r="O37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3026.011409777775</v>
      </c>
      <c r="P37" s="92">
        <f ca="1">IFERROR(Tabela1[[#This Row],[RESULTADO]]/Tabela1[[#This Row],[FATURAMENTO]],"-")</f>
        <v>0.13321702537883834</v>
      </c>
      <c r="Q37" s="41">
        <f>IFERROR(I37/H37,"-")</f>
        <v>9.9442698163924614</v>
      </c>
      <c r="R37" s="42">
        <f>_xlfn.XLOOKUP(C37,'Telemetria Sighra'!F:F,'Telemetria Sighra'!S:S,0)</f>
        <v>1.8542799629876141</v>
      </c>
      <c r="S37" s="44">
        <f>_xlfn.XLOOKUP(Tabela1[[#This Row],[PLACA]],'Telemetria Sighra'!F:F,'Telemetria Sighra'!I:I,0)</f>
        <v>1232.02</v>
      </c>
      <c r="T37" s="104">
        <f>IFERROR((Tabela1[[#This Row],[LITROS CONSUMIDOS]]*$U$1)/Tabela1[[#This Row],[HODÔMETRO]],"-")</f>
        <v>3.236168144924743</v>
      </c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spans="1:36" ht="15.6" x14ac:dyDescent="0.3">
      <c r="A38" s="37" t="s">
        <v>32</v>
      </c>
      <c r="B38" s="37">
        <v>2021</v>
      </c>
      <c r="C38" s="38" t="s">
        <v>78</v>
      </c>
      <c r="D38" s="38" t="s">
        <v>34</v>
      </c>
      <c r="E38" s="38" t="str">
        <f>IFERROR(_xlfn.XLOOKUP(Tabela1[[#This Row],[PLACA]],'Telemetria Sighra'!F:F,'Telemetria Sighra'!T:T),"NÃO EMBARCADO")</f>
        <v>CLAUDEMIR SOARES - 252</v>
      </c>
      <c r="F38" s="44" cm="1">
        <f t="array" ref="F38">SUMPRODUCT((ISNUMBER(FIND(C38,Faturamento!$F$2:$F$1014)))*(Faturamento!$AA$2:$AA$1014))</f>
        <v>1727</v>
      </c>
      <c r="G38" s="44">
        <f>Tabela1[[#This Row],[HODÔMETRO]]-Tabela1[[#This Row],[KM CARREGADO]]</f>
        <v>554.52000000001863</v>
      </c>
      <c r="H38" s="39">
        <f>_xlfn.XLOOKUP(C38,'Telemetria Sighra'!F:F,'Telemetria Sighra'!R:R,0)</f>
        <v>2281.5200000000186</v>
      </c>
      <c r="I38" s="71">
        <f>SUMIF(Faturamento!AC:AC,C38,Faturamento!T:T)</f>
        <v>23075.989999999998</v>
      </c>
      <c r="J38" s="80" cm="1">
        <f t="array" ref="J38">SUMPRODUCT((ISNUMBER(FIND(C38,Faturamento!$F$2:$F$1014)))*(Faturamento!$R$2:$R$1014))</f>
        <v>117433</v>
      </c>
      <c r="K38" s="40">
        <f ca="1">$AH$2/30*$AA$1</f>
        <v>9479.7957222222212</v>
      </c>
      <c r="L38" s="40">
        <v>4.4694000000000003</v>
      </c>
      <c r="M38" s="40">
        <v>39990</v>
      </c>
      <c r="N38" s="92">
        <f ca="1">Tabela1[[#This Row],[RESULTADO]]/Tabela1[[#This Row],[EBITDA ESTIMADO]]</f>
        <v>8.5000469861907818E-2</v>
      </c>
      <c r="O38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3399.1687897776937</v>
      </c>
      <c r="P38" s="92">
        <f ca="1">IFERROR(Tabela1[[#This Row],[RESULTADO]]/Tabela1[[#This Row],[FATURAMENTO]],"-")</f>
        <v>0.1473032701859246</v>
      </c>
      <c r="Q38" s="41">
        <f>IFERROR(I38/H38,"-")</f>
        <v>10.11430537536371</v>
      </c>
      <c r="R38" s="42">
        <f>_xlfn.XLOOKUP(C38,'Telemetria Sighra'!F:F,'Telemetria Sighra'!S:S,0)</f>
        <v>1.5780198499152749</v>
      </c>
      <c r="S38" s="44">
        <f>_xlfn.XLOOKUP(Tabela1[[#This Row],[PLACA]],'Telemetria Sighra'!F:F,'Telemetria Sighra'!I:I,0)</f>
        <v>1445.85</v>
      </c>
      <c r="T38" s="104">
        <f>IFERROR((Tabela1[[#This Row],[LITROS CONSUMIDOS]]*$U$1)/Tabela1[[#This Row],[HODÔMETRO]],"-")</f>
        <v>3.8023335320312457</v>
      </c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spans="1:36" ht="15.6" x14ac:dyDescent="0.3">
      <c r="A39" s="37" t="s">
        <v>39</v>
      </c>
      <c r="B39" s="37">
        <v>2017</v>
      </c>
      <c r="C39" s="38" t="s">
        <v>82</v>
      </c>
      <c r="D39" s="38" t="s">
        <v>43</v>
      </c>
      <c r="E39" s="38" t="str">
        <f>IFERROR(_xlfn.XLOOKUP(Tabela1[[#This Row],[PLACA]],'Telemetria Sighra'!F:F,'Telemetria Sighra'!T:T),"NÃO EMBARCADO")</f>
        <v>LUIZ GERVASIO STROPARO - 10759</v>
      </c>
      <c r="F39" s="44" cm="1">
        <f t="array" ref="F39">SUMPRODUCT((ISNUMBER(FIND(C39,Faturamento!$F$2:$F$1014)))*(Faturamento!$AA$2:$AA$1014))</f>
        <v>660</v>
      </c>
      <c r="G39" s="44">
        <f>Tabela1[[#This Row],[HODÔMETRO]]-Tabela1[[#This Row],[KM CARREGADO]]</f>
        <v>537.51999999996042</v>
      </c>
      <c r="H39" s="39">
        <f>_xlfn.XLOOKUP(C39,'Telemetria Sighra'!F:F,'Telemetria Sighra'!R:R,0)</f>
        <v>1197.5199999999604</v>
      </c>
      <c r="I39" s="71">
        <f>SUMIF(Faturamento!AC:AC,C39,Faturamento!T:T)</f>
        <v>17105.809999999998</v>
      </c>
      <c r="J39" s="80" cm="1">
        <f t="array" ref="J39">SUMPRODUCT((ISNUMBER(FIND(C39,Faturamento!$F$2:$F$1014)))*(Faturamento!$R$2:$R$1014))</f>
        <v>112240</v>
      </c>
      <c r="K39" s="45">
        <f ca="1">$AD$2/30*$AA$1</f>
        <v>7856.0195277777784</v>
      </c>
      <c r="L39" s="45">
        <v>3.55</v>
      </c>
      <c r="M39" s="45">
        <v>47896</v>
      </c>
      <c r="N39" s="107">
        <f ca="1">Tabela1[[#This Row],[RESULTADO]]/Tabela1[[#This Row],[EBITDA ESTIMADO]]</f>
        <v>0.10436350576712795</v>
      </c>
      <c r="O39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4998.5944722223603</v>
      </c>
      <c r="P39" s="92">
        <f ca="1">IFERROR(Tabela1[[#This Row],[RESULTADO]]/Tabela1[[#This Row],[FATURAMENTO]],"-")</f>
        <v>0.29221618106493413</v>
      </c>
      <c r="Q39" s="41">
        <f>IFERROR(I39/H39,"-")</f>
        <v>14.284362682878418</v>
      </c>
      <c r="R39" s="42">
        <f>_xlfn.XLOOKUP(C39,'Telemetria Sighra'!F:F,'Telemetria Sighra'!S:S,0)</f>
        <v>1.5582300055946605</v>
      </c>
      <c r="S39" s="44">
        <f>_xlfn.XLOOKUP(Tabela1[[#This Row],[PLACA]],'Telemetria Sighra'!F:F,'Telemetria Sighra'!I:I,0)</f>
        <v>768.59</v>
      </c>
      <c r="T39" s="104">
        <f>IFERROR((Tabela1[[#This Row],[LITROS CONSUMIDOS]]*$U$1)/Tabela1[[#This Row],[HODÔMETRO]],"-")</f>
        <v>3.8509085443250655</v>
      </c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</row>
    <row r="40" spans="1:36" ht="15.6" x14ac:dyDescent="0.3">
      <c r="A40" s="37" t="s">
        <v>39</v>
      </c>
      <c r="B40" s="37">
        <v>2017</v>
      </c>
      <c r="C40" s="38" t="s">
        <v>85</v>
      </c>
      <c r="D40" s="38" t="s">
        <v>43</v>
      </c>
      <c r="E40" s="38" t="str">
        <f>IFERROR(_xlfn.XLOOKUP(Tabela1[[#This Row],[PLACA]],'Telemetria Sighra'!F:F,'Telemetria Sighra'!T:T),"NÃO EMBARCADO")</f>
        <v>ANTONIO MARCOS GONCALVES - 90</v>
      </c>
      <c r="F40" s="44" cm="1">
        <f t="array" ref="F40">SUMPRODUCT((ISNUMBER(FIND(C40,Faturamento!$F$2:$F$1014)))*(Faturamento!$AA$2:$AA$1014))</f>
        <v>1412</v>
      </c>
      <c r="G40" s="44">
        <f>Tabela1[[#This Row],[HODÔMETRO]]-Tabela1[[#This Row],[KM CARREGADO]]</f>
        <v>871.68000000005122</v>
      </c>
      <c r="H40" s="39">
        <f>_xlfn.XLOOKUP(C40,'Telemetria Sighra'!F:F,'Telemetria Sighra'!R:R,0)</f>
        <v>2283.6800000000512</v>
      </c>
      <c r="I40" s="71">
        <f>SUMIF(Faturamento!AC:AC,C40,Faturamento!T:T)</f>
        <v>20994.5</v>
      </c>
      <c r="J40" s="80" cm="1">
        <f t="array" ref="J40">SUMPRODUCT((ISNUMBER(FIND(C40,Faturamento!$F$2:$F$1014)))*(Faturamento!$R$2:$R$1014))</f>
        <v>165378</v>
      </c>
      <c r="K40" s="45">
        <f ca="1">$AD$2/30*$AA$1</f>
        <v>7856.0195277777784</v>
      </c>
      <c r="L40" s="45">
        <v>3.55</v>
      </c>
      <c r="M40" s="45">
        <v>47896</v>
      </c>
      <c r="N40" s="107">
        <f ca="1">Tabela1[[#This Row],[RESULTADO]]/Tabela1[[#This Row],[EBITDA ESTIMADO]]</f>
        <v>0.10504878219939119</v>
      </c>
      <c r="O40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5031.4164722220403</v>
      </c>
      <c r="P40" s="92">
        <f ca="1">IFERROR(Tabela1[[#This Row],[RESULTADO]]/Tabela1[[#This Row],[FATURAMENTO]],"-")</f>
        <v>0.23965402711291245</v>
      </c>
      <c r="Q40" s="41">
        <f>IFERROR(I40/H40,"-")</f>
        <v>9.1932757654310269</v>
      </c>
      <c r="R40" s="42">
        <f>_xlfn.XLOOKUP(C40,'Telemetria Sighra'!F:F,'Telemetria Sighra'!S:S,0)</f>
        <v>2.0101474147414744</v>
      </c>
      <c r="S40" s="44">
        <f>_xlfn.XLOOKUP(Tabela1[[#This Row],[PLACA]],'Telemetria Sighra'!F:F,'Telemetria Sighra'!I:I,0)</f>
        <v>1136.25</v>
      </c>
      <c r="T40" s="104">
        <f>IFERROR((Tabela1[[#This Row],[LITROS CONSUMIDOS]]*$U$1)/Tabela1[[#This Row],[HODÔMETRO]],"-")</f>
        <v>2.9853131787290019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spans="1:36" ht="15.6" x14ac:dyDescent="0.3">
      <c r="A41" s="37" t="s">
        <v>32</v>
      </c>
      <c r="B41" s="37">
        <v>2021</v>
      </c>
      <c r="C41" s="38" t="s">
        <v>44</v>
      </c>
      <c r="D41" s="38" t="s">
        <v>34</v>
      </c>
      <c r="E41" s="38" t="str">
        <f>IFERROR(_xlfn.XLOOKUP(Tabela1[[#This Row],[PLACA]],'Telemetria Sighra'!F:F,'Telemetria Sighra'!T:T),"NÃO EMBARCADO")</f>
        <v>REINALDO FERNEDA - 249</v>
      </c>
      <c r="F41" s="44" cm="1">
        <f t="array" ref="F41">SUMPRODUCT((ISNUMBER(FIND(C41,Faturamento!$F$2:$F$1014)))*(Faturamento!$AA$2:$AA$1014))</f>
        <v>1443</v>
      </c>
      <c r="G41" s="44">
        <f>Tabela1[[#This Row],[HODÔMETRO]]-Tabela1[[#This Row],[KM CARREGADO]]</f>
        <v>1286.0300000000279</v>
      </c>
      <c r="H41" s="39">
        <f>_xlfn.XLOOKUP(C41,'Telemetria Sighra'!F:F,'Telemetria Sighra'!R:R,0)</f>
        <v>2729.0300000000279</v>
      </c>
      <c r="I41" s="71">
        <f>SUMIF(Faturamento!AC:AC,C41,Faturamento!T:T)</f>
        <v>28435.69</v>
      </c>
      <c r="J41" s="80" cm="1">
        <f t="array" ref="J41">SUMPRODUCT((ISNUMBER(FIND(C41,Faturamento!$F$2:$F$1014)))*(Faturamento!$R$2:$R$1014))</f>
        <v>117175</v>
      </c>
      <c r="K41" s="40">
        <f ca="1">$AH$2/30*$AA$1</f>
        <v>9479.7957222222212</v>
      </c>
      <c r="L41" s="40">
        <v>4.4694000000000003</v>
      </c>
      <c r="M41" s="40">
        <v>39990</v>
      </c>
      <c r="N41" s="92">
        <f ca="1">Tabela1[[#This Row],[RESULTADO]]/Tabela1[[#This Row],[EBITDA ESTIMADO]]</f>
        <v>0.16901144275513008</v>
      </c>
      <c r="O41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6758.7675957776519</v>
      </c>
      <c r="P41" s="92">
        <f ca="1">IFERROR(Tabela1[[#This Row],[RESULTADO]]/Tabela1[[#This Row],[FATURAMENTO]],"-")</f>
        <v>0.2376860767499453</v>
      </c>
      <c r="Q41" s="41">
        <f>IFERROR(I41/H41,"-")</f>
        <v>10.419705902829836</v>
      </c>
      <c r="R41" s="42">
        <f>_xlfn.XLOOKUP(C41,'Telemetria Sighra'!F:F,'Telemetria Sighra'!S:S,0)</f>
        <v>1.6615203852405624</v>
      </c>
      <c r="S41" s="44">
        <f>_xlfn.XLOOKUP(Tabela1[[#This Row],[PLACA]],'Telemetria Sighra'!F:F,'Telemetria Sighra'!I:I,0)</f>
        <v>1642.61</v>
      </c>
      <c r="T41" s="104">
        <f>IFERROR((Tabela1[[#This Row],[LITROS CONSUMIDOS]]*$U$1)/Tabela1[[#This Row],[HODÔMETRO]],"-")</f>
        <v>3.6114150449060287</v>
      </c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spans="1:36" ht="15.6" x14ac:dyDescent="0.3">
      <c r="A42" s="37" t="s">
        <v>28</v>
      </c>
      <c r="B42" s="37">
        <v>2020</v>
      </c>
      <c r="C42" s="38" t="s">
        <v>90</v>
      </c>
      <c r="D42" s="38" t="s">
        <v>80</v>
      </c>
      <c r="E42" s="38" t="str">
        <f>IFERROR(_xlfn.XLOOKUP(Tabela1[[#This Row],[PLACA]],'Telemetria Sighra'!F:F,'Telemetria Sighra'!T:T),"NÃO EMBARCADO")</f>
        <v>JOAO GABRIEL DA CRUZ - 10724</v>
      </c>
      <c r="F42" s="44" cm="1">
        <f t="array" ref="F42">SUMPRODUCT((ISNUMBER(FIND(C42,Faturamento!$F$2:$F$1014)))*(Faturamento!$AA$2:$AA$1014))</f>
        <v>1583</v>
      </c>
      <c r="G42" s="44">
        <f>Tabela1[[#This Row],[HODÔMETRO]]-Tabela1[[#This Row],[KM CARREGADO]]</f>
        <v>300.69999999995343</v>
      </c>
      <c r="H42" s="39">
        <f>_xlfn.XLOOKUP(C42,'Telemetria Sighra'!F:F,'Telemetria Sighra'!R:R,0)</f>
        <v>1883.6999999999534</v>
      </c>
      <c r="I42" s="71">
        <f>SUMIF(Faturamento!AC:AC,C42,Faturamento!T:T)</f>
        <v>25279.559999999998</v>
      </c>
      <c r="J42" s="80" cm="1">
        <f t="array" ref="J42">SUMPRODUCT((ISNUMBER(FIND(C42,Faturamento!$F$2:$F$1014)))*(Faturamento!$R$2:$R$1014))</f>
        <v>104635</v>
      </c>
      <c r="K42" s="40">
        <f ca="1">$AH$2/30*$AA$1</f>
        <v>9479.7957222222212</v>
      </c>
      <c r="L42" s="40">
        <v>4.4694000000000003</v>
      </c>
      <c r="M42" s="40">
        <v>34268</v>
      </c>
      <c r="N42" s="92">
        <f ca="1">Tabela1[[#This Row],[RESULTADO]]/Tabela1[[#This Row],[EBITDA ESTIMADO]]</f>
        <v>0.21538331673216948</v>
      </c>
      <c r="O42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7380.7554977779837</v>
      </c>
      <c r="P42" s="92">
        <f ca="1">IFERROR(Tabela1[[#This Row],[RESULTADO]]/Tabela1[[#This Row],[FATURAMENTO]],"-")</f>
        <v>0.29196534661908613</v>
      </c>
      <c r="Q42" s="41">
        <f>IFERROR(I42/H42,"-")</f>
        <v>13.420162446249734</v>
      </c>
      <c r="R42" s="42">
        <f>_xlfn.XLOOKUP(C42,'Telemetria Sighra'!F:F,'Telemetria Sighra'!S:S,0)</f>
        <v>1.3760545787893617</v>
      </c>
      <c r="S42" s="44">
        <f>_xlfn.XLOOKUP(Tabela1[[#This Row],[PLACA]],'Telemetria Sighra'!F:F,'Telemetria Sighra'!I:I,0)</f>
        <v>1369.03</v>
      </c>
      <c r="T42" s="104">
        <f>IFERROR((Tabela1[[#This Row],[LITROS CONSUMIDOS]]*$U$1)/Tabela1[[#This Row],[HODÔMETRO]],"-")</f>
        <v>4.3606625258800253</v>
      </c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spans="1:36" ht="15.6" x14ac:dyDescent="0.3">
      <c r="A43" s="37" t="s">
        <v>28</v>
      </c>
      <c r="B43" s="37">
        <v>2020</v>
      </c>
      <c r="C43" s="38" t="s">
        <v>86</v>
      </c>
      <c r="D43" s="38" t="s">
        <v>80</v>
      </c>
      <c r="E43" s="38" t="str">
        <f>IFERROR(_xlfn.XLOOKUP(Tabela1[[#This Row],[PLACA]],'Telemetria Sighra'!F:F,'Telemetria Sighra'!T:T),"NÃO EMBARCADO")</f>
        <v>OSVALDIR RIBEIRO PINTO - 52</v>
      </c>
      <c r="F43" s="44" cm="1">
        <f t="array" ref="F43">SUMPRODUCT((ISNUMBER(FIND(C43,Faturamento!$F$2:$F$1014)))*(Faturamento!$AA$2:$AA$1014))</f>
        <v>1809</v>
      </c>
      <c r="G43" s="44">
        <f>Tabela1[[#This Row],[HODÔMETRO]]-Tabela1[[#This Row],[KM CARREGADO]]</f>
        <v>1605.2200000000885</v>
      </c>
      <c r="H43" s="39">
        <f>_xlfn.XLOOKUP(C43,'Telemetria Sighra'!F:F,'Telemetria Sighra'!R:R,0)</f>
        <v>3414.2200000000885</v>
      </c>
      <c r="I43" s="71">
        <f>SUMIF(Faturamento!AC:AC,C43,Faturamento!T:T)</f>
        <v>32148.2</v>
      </c>
      <c r="J43" s="80" cm="1">
        <f t="array" ref="J43">SUMPRODUCT((ISNUMBER(FIND(C43,Faturamento!$F$2:$F$1014)))*(Faturamento!$R$2:$R$1014))</f>
        <v>165961</v>
      </c>
      <c r="K43" s="40">
        <f ca="1">$AH$2/30*$AA$1</f>
        <v>9479.7957222222212</v>
      </c>
      <c r="L43" s="40">
        <v>4.4694000000000003</v>
      </c>
      <c r="M43" s="40">
        <v>34268</v>
      </c>
      <c r="N43" s="92">
        <f ca="1">Tabela1[[#This Row],[RESULTADO]]/Tabela1[[#This Row],[EBITDA ESTIMADO]]</f>
        <v>0.21620431334706966</v>
      </c>
      <c r="O43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7408.8894097773828</v>
      </c>
      <c r="P43" s="92">
        <f ca="1">IFERROR(Tabela1[[#This Row],[RESULTADO]]/Tabela1[[#This Row],[FATURAMENTO]],"-")</f>
        <v>0.23046047398539832</v>
      </c>
      <c r="Q43" s="41">
        <f>IFERROR(I43/H43,"-")</f>
        <v>9.4159720228922463</v>
      </c>
      <c r="R43" s="42">
        <f>_xlfn.XLOOKUP(C43,'Telemetria Sighra'!F:F,'Telemetria Sighra'!S:S,0)</f>
        <v>1.4617729278953386</v>
      </c>
      <c r="S43" s="44">
        <f>_xlfn.XLOOKUP(Tabela1[[#This Row],[PLACA]],'Telemetria Sighra'!F:F,'Telemetria Sighra'!I:I,0)</f>
        <v>2335.91</v>
      </c>
      <c r="T43" s="104">
        <f>IFERROR((Tabela1[[#This Row],[LITROS CONSUMIDOS]]*$U$1)/Tabela1[[#This Row],[HODÔMETRO]],"-")</f>
        <v>4.1050254523726171</v>
      </c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 spans="1:36" ht="15.6" x14ac:dyDescent="0.3">
      <c r="A44" s="37" t="s">
        <v>45</v>
      </c>
      <c r="B44" s="37">
        <v>2025</v>
      </c>
      <c r="C44" s="38" t="s">
        <v>87</v>
      </c>
      <c r="D44" s="38" t="s">
        <v>37</v>
      </c>
      <c r="E44" s="38" t="str">
        <f>IFERROR(_xlfn.XLOOKUP(Tabela1[[#This Row],[PLACA]],'Telemetria Sighra'!F:F,'Telemetria Sighra'!T:T),"NÃO EMBARCADO")</f>
        <v>LAURO LORETO TEIXEIRA - 111</v>
      </c>
      <c r="F44" s="44" cm="1">
        <f t="array" ref="F44">SUMPRODUCT((ISNUMBER(FIND(C44,Faturamento!$F$2:$F$1014)))*(Faturamento!$AA$2:$AA$1014))</f>
        <v>1590</v>
      </c>
      <c r="G44" s="44">
        <f>Tabela1[[#This Row],[HODÔMETRO]]-Tabela1[[#This Row],[KM CARREGADO]]</f>
        <v>1556.3600000000006</v>
      </c>
      <c r="H44" s="39">
        <f>_xlfn.XLOOKUP(C44,'Telemetria Sighra'!F:F,'Telemetria Sighra'!R:R,0)</f>
        <v>3146.3600000000006</v>
      </c>
      <c r="I44" s="71">
        <f>SUMIF(Faturamento!AC:AC,C44,Faturamento!T:T)</f>
        <v>31729.81</v>
      </c>
      <c r="J44" s="80" cm="1">
        <f t="array" ref="J44">SUMPRODUCT((ISNUMBER(FIND(C44,Faturamento!$F$2:$F$1014)))*(Faturamento!$R$2:$R$1014))</f>
        <v>166014</v>
      </c>
      <c r="K44" s="40">
        <f ca="1">$AH$2/30*$AA$1</f>
        <v>9479.7957222222212</v>
      </c>
      <c r="L44" s="40">
        <v>4.4694000000000003</v>
      </c>
      <c r="M44" s="40">
        <v>69761</v>
      </c>
      <c r="N44" s="92">
        <f ca="1">Tabela1[[#This Row],[RESULTADO]]/Tabela1[[#This Row],[EBITDA ESTIMADO]]</f>
        <v>0.11736748174162895</v>
      </c>
      <c r="O44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8187.6728937777771</v>
      </c>
      <c r="P44" s="92">
        <f ca="1">IFERROR(Tabela1[[#This Row],[RESULTADO]]/Tabela1[[#This Row],[FATURAMENTO]],"-")</f>
        <v>0.25804355253869393</v>
      </c>
      <c r="Q44" s="41">
        <f>IFERROR(I44/H44,"-")</f>
        <v>10.084608881374031</v>
      </c>
      <c r="R44" s="42">
        <f>_xlfn.XLOOKUP(C44,'Telemetria Sighra'!F:F,'Telemetria Sighra'!S:S,0)</f>
        <v>1.6155947240605635</v>
      </c>
      <c r="S44" s="44">
        <f>_xlfn.XLOOKUP(Tabela1[[#This Row],[PLACA]],'Telemetria Sighra'!F:F,'Telemetria Sighra'!I:I,0)</f>
        <v>1947.71</v>
      </c>
      <c r="T44" s="104">
        <f>IFERROR((Tabela1[[#This Row],[LITROS CONSUMIDOS]]*$U$1)/Tabela1[[#This Row],[HODÔMETRO]],"-")</f>
        <v>3.7142157922170376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</row>
    <row r="45" spans="1:36" ht="15.6" x14ac:dyDescent="0.3">
      <c r="A45" s="37" t="s">
        <v>32</v>
      </c>
      <c r="B45" s="37">
        <v>2023</v>
      </c>
      <c r="C45" s="38" t="s">
        <v>64</v>
      </c>
      <c r="D45" s="38" t="s">
        <v>34</v>
      </c>
      <c r="E45" s="38" t="str">
        <f>IFERROR(_xlfn.XLOOKUP(Tabela1[[#This Row],[PLACA]],'Telemetria Sighra'!F:F,'Telemetria Sighra'!T:T),"NÃO EMBARCADO")</f>
        <v>VALDEREZ MAINARDES - 229</v>
      </c>
      <c r="F45" s="44" cm="1">
        <f t="array" ref="F45">SUMPRODUCT((ISNUMBER(FIND(C45,Faturamento!$F$2:$F$1014)))*(Faturamento!$AA$2:$AA$1014))</f>
        <v>1644</v>
      </c>
      <c r="G45" s="44">
        <f>Tabela1[[#This Row],[HODÔMETRO]]-Tabela1[[#This Row],[KM CARREGADO]]</f>
        <v>1481.2799999999697</v>
      </c>
      <c r="H45" s="39">
        <f>_xlfn.XLOOKUP(C45,'Telemetria Sighra'!F:F,'Telemetria Sighra'!R:R,0)</f>
        <v>3125.2799999999697</v>
      </c>
      <c r="I45" s="71">
        <f>SUMIF(Faturamento!AC:AC,C45,Faturamento!T:T)</f>
        <v>31742.36</v>
      </c>
      <c r="J45" s="80" cm="1">
        <f t="array" ref="J45">SUMPRODUCT((ISNUMBER(FIND(C45,Faturamento!$F$2:$F$1014)))*(Faturamento!$R$2:$R$1014))</f>
        <v>238766</v>
      </c>
      <c r="K45" s="40">
        <f ca="1">$AH$2/30*$AA$1</f>
        <v>9479.7957222222212</v>
      </c>
      <c r="L45" s="40">
        <v>4.4694000000000003</v>
      </c>
      <c r="M45" s="40">
        <v>39990</v>
      </c>
      <c r="N45" s="92">
        <f ca="1">Tabela1[[#This Row],[RESULTADO]]/Tabela1[[#This Row],[EBITDA ESTIMADO]]</f>
        <v>0.20741279934428389</v>
      </c>
      <c r="O45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8294.437845777913</v>
      </c>
      <c r="P45" s="92">
        <f ca="1">IFERROR(Tabela1[[#This Row],[RESULTADO]]/Tabela1[[#This Row],[FATURAMENTO]],"-")</f>
        <v>0.26130501468000217</v>
      </c>
      <c r="Q45" s="41">
        <f>IFERROR(I45/H45,"-")</f>
        <v>10.156645164593352</v>
      </c>
      <c r="R45" s="42">
        <f>_xlfn.XLOOKUP(C45,'Telemetria Sighra'!F:F,'Telemetria Sighra'!S:S,0)</f>
        <v>1.9767324196639198</v>
      </c>
      <c r="S45" s="44">
        <f>_xlfn.XLOOKUP(Tabela1[[#This Row],[PLACA]],'Telemetria Sighra'!F:F,'Telemetria Sighra'!I:I,0)</f>
        <v>1581.17</v>
      </c>
      <c r="T45" s="104">
        <f>IFERROR((Tabela1[[#This Row],[LITROS CONSUMIDOS]]*$U$1)/Tabela1[[#This Row],[HODÔMETRO]],"-")</f>
        <v>3.0355744125326667</v>
      </c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spans="1:36" ht="15.6" x14ac:dyDescent="0.3">
      <c r="A46" s="37" t="s">
        <v>39</v>
      </c>
      <c r="B46" s="37">
        <v>2017</v>
      </c>
      <c r="C46" s="38" t="s">
        <v>89</v>
      </c>
      <c r="D46" s="38" t="s">
        <v>41</v>
      </c>
      <c r="E46" s="38" t="str">
        <f>IFERROR(_xlfn.XLOOKUP(Tabela1[[#This Row],[PLACA]],'Telemetria Sighra'!F:F,'Telemetria Sighra'!T:T),"NÃO EMBARCADO")</f>
        <v>FERNANDO JOSE CARVALHO - 10762</v>
      </c>
      <c r="F46" s="44" cm="1">
        <f t="array" ref="F46">SUMPRODUCT((ISNUMBER(FIND(C46,Faturamento!$F$2:$F$1014)))*(Faturamento!$AA$2:$AA$1014))</f>
        <v>918</v>
      </c>
      <c r="G46" s="44">
        <f>Tabela1[[#This Row],[HODÔMETRO]]-Tabela1[[#This Row],[KM CARREGADO]]</f>
        <v>1092.2900000000373</v>
      </c>
      <c r="H46" s="39">
        <f>_xlfn.XLOOKUP(C46,'Telemetria Sighra'!F:F,'Telemetria Sighra'!R:R,0)</f>
        <v>2010.2900000000373</v>
      </c>
      <c r="I46" s="71">
        <f>SUMIF(Faturamento!AC:AC,C46,Faturamento!T:T)</f>
        <v>23624.800000000003</v>
      </c>
      <c r="J46" s="80" cm="1">
        <f t="array" ref="J46">SUMPRODUCT((ISNUMBER(FIND(C46,Faturamento!$F$2:$F$1014)))*(Faturamento!$R$2:$R$1014))</f>
        <v>230037</v>
      </c>
      <c r="K46" s="45">
        <f ca="1">$AD$2/30*$AA$1</f>
        <v>7856.0195277777784</v>
      </c>
      <c r="L46" s="45">
        <v>3.55</v>
      </c>
      <c r="M46" s="45">
        <v>36051</v>
      </c>
      <c r="N46" s="107">
        <f ca="1">Tabela1[[#This Row],[RESULTADO]]/Tabela1[[#This Row],[EBITDA ESTIMADO]]</f>
        <v>0.23944553472087024</v>
      </c>
      <c r="O46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8632.250972222093</v>
      </c>
      <c r="P46" s="92">
        <f ca="1">IFERROR(Tabela1[[#This Row],[RESULTADO]]/Tabela1[[#This Row],[FATURAMENTO]],"-")</f>
        <v>0.36538937778191105</v>
      </c>
      <c r="Q46" s="41">
        <f>IFERROR(I46/H46,"-")</f>
        <v>11.751936287799056</v>
      </c>
      <c r="R46" s="42">
        <f>_xlfn.XLOOKUP(C46,'Telemetria Sighra'!F:F,'Telemetria Sighra'!S:S,0)</f>
        <v>1.7028134898453511</v>
      </c>
      <c r="S46" s="44">
        <f>_xlfn.XLOOKUP(Tabela1[[#This Row],[PLACA]],'Telemetria Sighra'!F:F,'Telemetria Sighra'!I:I,0)</f>
        <v>1180.74</v>
      </c>
      <c r="T46" s="104">
        <f>IFERROR((Tabela1[[#This Row],[LITROS CONSUMIDOS]]*$U$1)/Tabela1[[#This Row],[HODÔMETRO]],"-")</f>
        <v>3.5240885643364237</v>
      </c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</row>
    <row r="47" spans="1:36" ht="15.6" x14ac:dyDescent="0.3">
      <c r="A47" s="37" t="s">
        <v>28</v>
      </c>
      <c r="B47" s="37">
        <v>2020</v>
      </c>
      <c r="C47" s="38" t="s">
        <v>88</v>
      </c>
      <c r="D47" s="38" t="s">
        <v>80</v>
      </c>
      <c r="E47" s="38" t="str">
        <f>IFERROR(_xlfn.XLOOKUP(Tabela1[[#This Row],[PLACA]],'Telemetria Sighra'!F:F,'Telemetria Sighra'!T:T),"NÃO EMBARCADO")</f>
        <v>WERNER DUCK - 47</v>
      </c>
      <c r="F47" s="44" cm="1">
        <f t="array" ref="F47">SUMPRODUCT((ISNUMBER(FIND(C47,Faturamento!$F$2:$F$1014)))*(Faturamento!$AA$2:$AA$1014))</f>
        <v>1027</v>
      </c>
      <c r="G47" s="44">
        <f>Tabela1[[#This Row],[HODÔMETRO]]-Tabela1[[#This Row],[KM CARREGADO]]</f>
        <v>918.51999999996042</v>
      </c>
      <c r="H47" s="39">
        <f>_xlfn.XLOOKUP(C47,'Telemetria Sighra'!F:F,'Telemetria Sighra'!R:R,0)</f>
        <v>1945.5199999999604</v>
      </c>
      <c r="I47" s="71">
        <f>SUMIF(Faturamento!AC:AC,C47,Faturamento!T:T)</f>
        <v>26974.510000000002</v>
      </c>
      <c r="J47" s="80" cm="1">
        <f t="array" ref="J47">SUMPRODUCT((ISNUMBER(FIND(C47,Faturamento!$F$2:$F$1014)))*(Faturamento!$R$2:$R$1014))</f>
        <v>346629</v>
      </c>
      <c r="K47" s="40">
        <f ca="1">$AH$2/30*$AA$1</f>
        <v>9479.7957222222212</v>
      </c>
      <c r="L47" s="40">
        <v>4.4694000000000003</v>
      </c>
      <c r="M47" s="40">
        <v>34268</v>
      </c>
      <c r="N47" s="92">
        <f ca="1">Tabela1[[#This Row],[RESULTADO]]/Tabela1[[#This Row],[EBITDA ESTIMADO]]</f>
        <v>0.25678204709285507</v>
      </c>
      <c r="O47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8799.4071897779577</v>
      </c>
      <c r="P47" s="92">
        <f ca="1">IFERROR(Tabela1[[#This Row],[RESULTADO]]/Tabela1[[#This Row],[FATURAMENTO]],"-")</f>
        <v>0.32621193822530814</v>
      </c>
      <c r="Q47" s="41">
        <f>IFERROR(I47/H47,"-")</f>
        <v>13.864935852625802</v>
      </c>
      <c r="R47" s="42">
        <f>_xlfn.XLOOKUP(C47,'Telemetria Sighra'!F:F,'Telemetria Sighra'!S:S,0)</f>
        <v>1.7366175814368587</v>
      </c>
      <c r="S47" s="44">
        <f>_xlfn.XLOOKUP(Tabela1[[#This Row],[PLACA]],'Telemetria Sighra'!F:F,'Telemetria Sighra'!I:I,0)</f>
        <v>1120.5</v>
      </c>
      <c r="T47" s="104">
        <f>IFERROR((Tabela1[[#This Row],[LITROS CONSUMIDOS]]*$U$1)/Tabela1[[#This Row],[HODÔMETRO]],"-")</f>
        <v>3.4556313993174763</v>
      </c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 spans="1:36" ht="15.6" x14ac:dyDescent="0.3">
      <c r="A48" s="37" t="s">
        <v>32</v>
      </c>
      <c r="B48" s="37">
        <v>2024</v>
      </c>
      <c r="C48" s="38" t="s">
        <v>92</v>
      </c>
      <c r="D48" s="38" t="s">
        <v>34</v>
      </c>
      <c r="E48" s="38" t="str">
        <f>IFERROR(_xlfn.XLOOKUP(Tabela1[[#This Row],[PLACA]],'Telemetria Sighra'!F:F,'Telemetria Sighra'!T:T),"NÃO EMBARCADO")</f>
        <v>EDUARDO RAFAEL BORGES - 253</v>
      </c>
      <c r="F48" s="44" cm="1">
        <f t="array" ref="F48">SUMPRODUCT((ISNUMBER(FIND(C48,Faturamento!$F$2:$F$1014)))*(Faturamento!$AA$2:$AA$1014))</f>
        <v>2217</v>
      </c>
      <c r="G48" s="44">
        <f>Tabela1[[#This Row],[HODÔMETRO]]-Tabela1[[#This Row],[KM CARREGADO]]</f>
        <v>680.26999999998952</v>
      </c>
      <c r="H48" s="39">
        <f>_xlfn.XLOOKUP(C48,'Telemetria Sighra'!F:F,'Telemetria Sighra'!R:R,0)</f>
        <v>2897.2699999999895</v>
      </c>
      <c r="I48" s="71">
        <f>SUMIF(Faturamento!AC:AC,C48,Faturamento!T:T)</f>
        <v>32474.43</v>
      </c>
      <c r="J48" s="80" cm="1">
        <f t="array" ref="J48">SUMPRODUCT((ISNUMBER(FIND(C48,Faturamento!$F$2:$F$1014)))*(Faturamento!$R$2:$R$1014))</f>
        <v>119160</v>
      </c>
      <c r="K48" s="40">
        <f ca="1">$AH$2/30*$AA$1</f>
        <v>9479.7957222222212</v>
      </c>
      <c r="L48" s="40">
        <v>4.4694000000000003</v>
      </c>
      <c r="M48" s="40">
        <v>39990</v>
      </c>
      <c r="N48" s="92">
        <f ca="1">Tabela1[[#This Row],[RESULTADO]]/Tabela1[[#This Row],[EBITDA ESTIMADO]]</f>
        <v>0.25120219404295635</v>
      </c>
      <c r="O48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10045.575739777825</v>
      </c>
      <c r="P48" s="92">
        <f ca="1">IFERROR(Tabela1[[#This Row],[RESULTADO]]/Tabela1[[#This Row],[FATURAMENTO]],"-")</f>
        <v>0.30933801577973269</v>
      </c>
      <c r="Q48" s="41">
        <f>IFERROR(I48/H48,"-")</f>
        <v>11.208630883555939</v>
      </c>
      <c r="R48" s="42">
        <f>_xlfn.XLOOKUP(C48,'Telemetria Sighra'!F:F,'Telemetria Sighra'!S:S,0)</f>
        <v>1.4904268562433771</v>
      </c>
      <c r="S48" s="44">
        <f>_xlfn.XLOOKUP(Tabela1[[#This Row],[PLACA]],'Telemetria Sighra'!F:F,'Telemetria Sighra'!I:I,0)</f>
        <v>1943.98</v>
      </c>
      <c r="T48" s="104">
        <f>IFERROR((Tabela1[[#This Row],[LITROS CONSUMIDOS]]*$U$1)/Tabela1[[#This Row],[HODÔMETRO]],"-")</f>
        <v>4.0258174074214841</v>
      </c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</row>
    <row r="49" spans="1:36" ht="15.6" x14ac:dyDescent="0.3">
      <c r="A49" s="37" t="s">
        <v>32</v>
      </c>
      <c r="B49" s="37">
        <v>2024</v>
      </c>
      <c r="C49" s="38" t="s">
        <v>93</v>
      </c>
      <c r="D49" s="38" t="s">
        <v>34</v>
      </c>
      <c r="E49" s="38" t="str">
        <f>IFERROR(_xlfn.XLOOKUP(Tabela1[[#This Row],[PLACA]],'Telemetria Sighra'!F:F,'Telemetria Sighra'!T:T),"NÃO EMBARCADO")</f>
        <v>ANDRIELIA APARECIDA GOMES - 238</v>
      </c>
      <c r="F49" s="44" cm="1">
        <f t="array" ref="F49">SUMPRODUCT((ISNUMBER(FIND(C49,Faturamento!$F$2:$F$1014)))*(Faturamento!$AA$2:$AA$1014))</f>
        <v>1712</v>
      </c>
      <c r="G49" s="44">
        <f>Tabela1[[#This Row],[HODÔMETRO]]-Tabela1[[#This Row],[KM CARREGADO]]</f>
        <v>71.089999999996508</v>
      </c>
      <c r="H49" s="39">
        <f>_xlfn.XLOOKUP(C49,'Telemetria Sighra'!F:F,'Telemetria Sighra'!R:R,0)</f>
        <v>1783.0899999999965</v>
      </c>
      <c r="I49" s="71">
        <f>SUMIF(Faturamento!AC:AC,C49,Faturamento!T:T)</f>
        <v>30696.670000000002</v>
      </c>
      <c r="J49" s="80" cm="1">
        <f t="array" ref="J49">SUMPRODUCT((ISNUMBER(FIND(C49,Faturamento!$F$2:$F$1014)))*(Faturamento!$R$2:$R$1014))</f>
        <v>164905</v>
      </c>
      <c r="K49" s="40">
        <f ca="1">$AH$2/30*$AA$1</f>
        <v>9479.7957222222212</v>
      </c>
      <c r="L49" s="40">
        <v>4.4694000000000003</v>
      </c>
      <c r="M49" s="40">
        <v>39990</v>
      </c>
      <c r="N49" s="92">
        <f ca="1">Tabela1[[#This Row],[RESULTADO]]/Tabela1[[#This Row],[EBITDA ESTIMADO]]</f>
        <v>0.33127111357283812</v>
      </c>
      <c r="O49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13247.531831777796</v>
      </c>
      <c r="P49" s="92">
        <f ca="1">IFERROR(Tabela1[[#This Row],[RESULTADO]]/Tabela1[[#This Row],[FATURAMENTO]],"-")</f>
        <v>0.43156250602354573</v>
      </c>
      <c r="Q49" s="41">
        <f>IFERROR(I49/H49,"-")</f>
        <v>17.215435003280856</v>
      </c>
      <c r="R49" s="42">
        <f>_xlfn.XLOOKUP(C49,'Telemetria Sighra'!F:F,'Telemetria Sighra'!S:S,0)</f>
        <v>1.2980797228045655</v>
      </c>
      <c r="S49" s="44">
        <f>_xlfn.XLOOKUP(Tabela1[[#This Row],[PLACA]],'Telemetria Sighra'!F:F,'Telemetria Sighra'!I:I,0)</f>
        <v>1373.76</v>
      </c>
      <c r="T49" s="104">
        <f>IFERROR((Tabela1[[#This Row],[LITROS CONSUMIDOS]]*$U$1)/Tabela1[[#This Row],[HODÔMETRO]],"-")</f>
        <v>4.6226270126578104</v>
      </c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</row>
    <row r="50" spans="1:36" ht="15.6" x14ac:dyDescent="0.3">
      <c r="A50" s="37" t="s">
        <v>45</v>
      </c>
      <c r="B50" s="37">
        <v>2025</v>
      </c>
      <c r="C50" s="38" t="s">
        <v>99</v>
      </c>
      <c r="D50" s="38" t="s">
        <v>37</v>
      </c>
      <c r="E50" s="38" t="str">
        <f>IFERROR(_xlfn.XLOOKUP(Tabela1[[#This Row],[PLACA]],'Telemetria Sighra'!F:F,'Telemetria Sighra'!T:T),"NÃO EMBARCADO")</f>
        <v>DEIZE CRISTINA WEILER - 10569</v>
      </c>
      <c r="F50" s="44" cm="1">
        <f t="array" ref="F50">SUMPRODUCT((ISNUMBER(FIND(C50,Faturamento!$F$2:$F$1014)))*(Faturamento!$AA$2:$AA$1014))</f>
        <v>1638</v>
      </c>
      <c r="G50" s="44">
        <f>Tabela1[[#This Row],[HODÔMETRO]]-Tabela1[[#This Row],[KM CARREGADO]]</f>
        <v>587.90999999998894</v>
      </c>
      <c r="H50" s="39">
        <f>_xlfn.XLOOKUP(C50,'Telemetria Sighra'!F:F,'Telemetria Sighra'!R:R,0)</f>
        <v>2225.9099999999889</v>
      </c>
      <c r="I50" s="71">
        <f>SUMIF(Faturamento!AC:AC,C50,Faturamento!T:T)</f>
        <v>33105.729999999996</v>
      </c>
      <c r="J50" s="80" cm="1">
        <f t="array" ref="J50">SUMPRODUCT((ISNUMBER(FIND(C50,Faturamento!$F$2:$F$1014)))*(Faturamento!$R$2:$R$1014))</f>
        <v>119193</v>
      </c>
      <c r="K50" s="40">
        <f ca="1">$AH$2/30*$AA$1</f>
        <v>9479.7957222222212</v>
      </c>
      <c r="L50" s="40">
        <v>4.4694000000000003</v>
      </c>
      <c r="M50" s="40">
        <v>69761</v>
      </c>
      <c r="N50" s="92">
        <f ca="1">Tabela1[[#This Row],[RESULTADO]]/Tabela1[[#This Row],[EBITDA ESTIMADO]]</f>
        <v>0.19606158346035496</v>
      </c>
      <c r="O50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13677.452123777823</v>
      </c>
      <c r="P50" s="92">
        <f ca="1">IFERROR(Tabela1[[#This Row],[RESULTADO]]/Tabela1[[#This Row],[FATURAMENTO]],"-")</f>
        <v>0.41314455605654443</v>
      </c>
      <c r="Q50" s="41">
        <f>IFERROR(I50/H50,"-")</f>
        <v>14.872896927548805</v>
      </c>
      <c r="R50" s="42">
        <f>_xlfn.XLOOKUP(C50,'Telemetria Sighra'!F:F,'Telemetria Sighra'!S:S,0)</f>
        <v>1.5803676016441977</v>
      </c>
      <c r="S50" s="44">
        <f>_xlfn.XLOOKUP(Tabela1[[#This Row],[PLACA]],'Telemetria Sighra'!F:F,'Telemetria Sighra'!I:I,0)</f>
        <v>1408.59</v>
      </c>
      <c r="T50" s="104">
        <f>IFERROR((Tabela1[[#This Row],[LITROS CONSUMIDOS]]*$U$1)/Tabela1[[#This Row],[HODÔMETRO]],"-")</f>
        <v>3.7968920576303811</v>
      </c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</row>
    <row r="51" spans="1:36" ht="15.6" x14ac:dyDescent="0.3">
      <c r="A51" s="37" t="s">
        <v>45</v>
      </c>
      <c r="B51" s="37">
        <v>2025</v>
      </c>
      <c r="C51" s="38" t="s">
        <v>94</v>
      </c>
      <c r="D51" s="38" t="s">
        <v>37</v>
      </c>
      <c r="E51" s="38" t="str">
        <f>IFERROR(_xlfn.XLOOKUP(Tabela1[[#This Row],[PLACA]],'Telemetria Sighra'!F:F,'Telemetria Sighra'!T:T),"NÃO EMBARCADO")</f>
        <v>ALCIONE DE CASTRO - 180</v>
      </c>
      <c r="F51" s="44" cm="1">
        <f t="array" ref="F51">SUMPRODUCT((ISNUMBER(FIND(C51,Faturamento!$F$2:$F$1014)))*(Faturamento!$AA$2:$AA$1014))</f>
        <v>2415</v>
      </c>
      <c r="G51" s="44">
        <f>Tabela1[[#This Row],[HODÔMETRO]]-Tabela1[[#This Row],[KM CARREGADO]]</f>
        <v>914.08000000000175</v>
      </c>
      <c r="H51" s="39">
        <f>_xlfn.XLOOKUP(C51,'Telemetria Sighra'!F:F,'Telemetria Sighra'!R:R,0)</f>
        <v>3329.0800000000017</v>
      </c>
      <c r="I51" s="71">
        <f>SUMIF(Faturamento!AC:AC,C51,Faturamento!T:T)</f>
        <v>38108.130000000005</v>
      </c>
      <c r="J51" s="80" cm="1">
        <f t="array" ref="J51">SUMPRODUCT((ISNUMBER(FIND(C51,Faturamento!$F$2:$F$1014)))*(Faturamento!$R$2:$R$1014))</f>
        <v>167353</v>
      </c>
      <c r="K51" s="40">
        <f ca="1">$AH$2/30*$AA$1</f>
        <v>9479.7957222222212</v>
      </c>
      <c r="L51" s="40">
        <v>4.4694000000000003</v>
      </c>
      <c r="M51" s="58">
        <v>69761</v>
      </c>
      <c r="N51" s="93">
        <f ca="1">Tabela1[[#This Row],[RESULTADO]]/Tabela1[[#This Row],[EBITDA ESTIMADO]]</f>
        <v>0.19709213064287745</v>
      </c>
      <c r="O51" s="58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13749.344125777774</v>
      </c>
      <c r="P51" s="93">
        <f ca="1">IFERROR(Tabela1[[#This Row],[RESULTADO]]/Tabela1[[#This Row],[FATURAMENTO]],"-")</f>
        <v>0.36079818468599145</v>
      </c>
      <c r="Q51" s="34">
        <f>IFERROR(I51/H51,"-")</f>
        <v>11.447045429968636</v>
      </c>
      <c r="R51" s="48">
        <f>_xlfn.XLOOKUP(C51,'Telemetria Sighra'!F:F,'Telemetria Sighra'!S:S,0)</f>
        <v>1.6191895142246437</v>
      </c>
      <c r="S51" s="49">
        <f>_xlfn.XLOOKUP(Tabela1[[#This Row],[PLACA]],'Telemetria Sighra'!F:F,'Telemetria Sighra'!I:I,0)</f>
        <v>2053.83</v>
      </c>
      <c r="T51" s="104">
        <f>IFERROR((Tabela1[[#This Row],[LITROS CONSUMIDOS]]*$U$1)/Tabela1[[#This Row],[HODÔMETRO]],"-")</f>
        <v>3.7016172636283877</v>
      </c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</row>
    <row r="52" spans="1:36" ht="15.6" x14ac:dyDescent="0.3">
      <c r="A52" s="37" t="s">
        <v>32</v>
      </c>
      <c r="B52" s="37">
        <v>2024</v>
      </c>
      <c r="C52" s="38" t="s">
        <v>97</v>
      </c>
      <c r="D52" s="38" t="s">
        <v>34</v>
      </c>
      <c r="E52" s="38" t="str">
        <f>IFERROR(_xlfn.XLOOKUP(Tabela1[[#This Row],[PLACA]],'Telemetria Sighra'!F:F,'Telemetria Sighra'!T:T),"NÃO EMBARCADO")</f>
        <v>ANTONIO MARCOS GONCALVES - 90</v>
      </c>
      <c r="F52" s="44" cm="1">
        <f t="array" ref="F52">SUMPRODUCT((ISNUMBER(FIND(C52,Faturamento!$F$2:$F$1014)))*(Faturamento!$AA$2:$AA$1014))</f>
        <v>1968</v>
      </c>
      <c r="G52" s="44">
        <f>Tabela1[[#This Row],[HODÔMETRO]]-Tabela1[[#This Row],[KM CARREGADO]]</f>
        <v>683.64000000001397</v>
      </c>
      <c r="H52" s="39">
        <f>_xlfn.XLOOKUP(C52,'Telemetria Sighra'!F:F,'Telemetria Sighra'!R:R,0)</f>
        <v>2651.640000000014</v>
      </c>
      <c r="I52" s="71">
        <f>SUMIF(Faturamento!AC:AC,C52,Faturamento!T:T)</f>
        <v>35328.86</v>
      </c>
      <c r="J52" s="80" cm="1">
        <f t="array" ref="J52">SUMPRODUCT((ISNUMBER(FIND(C52,Faturamento!$F$2:$F$1014)))*(Faturamento!$R$2:$R$1014))</f>
        <v>167265</v>
      </c>
      <c r="K52" s="40">
        <f ca="1">$AH$2/30*$AA$1</f>
        <v>9479.7957222222212</v>
      </c>
      <c r="L52" s="40">
        <v>4.4694000000000003</v>
      </c>
      <c r="M52" s="40">
        <v>39990</v>
      </c>
      <c r="N52" s="92">
        <f ca="1">Tabela1[[#This Row],[RESULTADO]]/Tabela1[[#This Row],[EBITDA ESTIMADO]]</f>
        <v>0.350033119824399</v>
      </c>
      <c r="O52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13997.824461777716</v>
      </c>
      <c r="P52" s="92">
        <f ca="1">IFERROR(Tabela1[[#This Row],[RESULTADO]]/Tabela1[[#This Row],[FATURAMENTO]],"-")</f>
        <v>0.39621500557271638</v>
      </c>
      <c r="Q52" s="41">
        <f>IFERROR(I52/H52,"-")</f>
        <v>13.323399858200892</v>
      </c>
      <c r="R52" s="42">
        <f>_xlfn.XLOOKUP(C52,'Telemetria Sighra'!F:F,'Telemetria Sighra'!S:S,0)</f>
        <v>1.4117728480241059</v>
      </c>
      <c r="S52" s="44">
        <f>_xlfn.XLOOKUP(Tabela1[[#This Row],[PLACA]],'Telemetria Sighra'!F:F,'Telemetria Sighra'!I:I,0)</f>
        <v>1878.39</v>
      </c>
      <c r="T52" s="104">
        <f>IFERROR((Tabela1[[#This Row],[LITROS CONSUMIDOS]]*$U$1)/Tabela1[[#This Row],[HODÔMETRO]],"-")</f>
        <v>4.2503280988369241</v>
      </c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</row>
    <row r="53" spans="1:36" ht="15.6" x14ac:dyDescent="0.3">
      <c r="A53" s="37" t="s">
        <v>95</v>
      </c>
      <c r="B53" s="37">
        <v>2013</v>
      </c>
      <c r="C53" s="38" t="s">
        <v>96</v>
      </c>
      <c r="D53" s="38" t="s">
        <v>41</v>
      </c>
      <c r="E53" s="38" t="str">
        <f>IFERROR(_xlfn.XLOOKUP(Tabela1[[#This Row],[PLACA]],'Telemetria Sighra'!F:F,'Telemetria Sighra'!T:T),"NÃO EMBARCADO")</f>
        <v>ANTONIO MARCOS GONCALVES - 90</v>
      </c>
      <c r="F53" s="44" cm="1">
        <f t="array" ref="F53">SUMPRODUCT((ISNUMBER(FIND(C53,Faturamento!$F$2:$F$1014)))*(Faturamento!$AA$2:$AA$1014))</f>
        <v>1224</v>
      </c>
      <c r="G53" s="44">
        <f>Tabela1[[#This Row],[HODÔMETRO]]-Tabela1[[#This Row],[KM CARREGADO]]</f>
        <v>1605.5</v>
      </c>
      <c r="H53" s="39">
        <f>_xlfn.XLOOKUP(C53,'Telemetria Sighra'!F:F,'Telemetria Sighra'!R:R,0)</f>
        <v>2829.5</v>
      </c>
      <c r="I53" s="71">
        <f>SUMIF(Faturamento!AC:AC,C53,Faturamento!T:T)</f>
        <v>32145.510000000002</v>
      </c>
      <c r="J53" s="80" cm="1">
        <f t="array" ref="J53">SUMPRODUCT((ISNUMBER(FIND(C53,Faturamento!$F$2:$F$1014)))*(Faturamento!$R$2:$R$1014))</f>
        <v>313004</v>
      </c>
      <c r="K53" s="45">
        <f ca="1">$AD$2/30*$AA$1</f>
        <v>7856.0195277777784</v>
      </c>
      <c r="L53" s="45">
        <v>3.55</v>
      </c>
      <c r="M53" s="45">
        <v>63000</v>
      </c>
      <c r="N53" s="107">
        <f ca="1">Tabela1[[#This Row],[RESULTADO]]/Tabela1[[#This Row],[EBITDA ESTIMADO]]</f>
        <v>0.22610738844797179</v>
      </c>
      <c r="O53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14244.765472222223</v>
      </c>
      <c r="P53" s="92">
        <f ca="1">IFERROR(Tabela1[[#This Row],[RESULTADO]]/Tabela1[[#This Row],[FATURAMENTO]],"-")</f>
        <v>0.44313390803948116</v>
      </c>
      <c r="Q53" s="41">
        <f>IFERROR(I53/H53,"-")</f>
        <v>11.360844672203569</v>
      </c>
      <c r="R53" s="42">
        <f>_xlfn.XLOOKUP(C53,'Telemetria Sighra'!F:F,'Telemetria Sighra'!S:S,0)</f>
        <v>1.8846269103985616</v>
      </c>
      <c r="S53" s="44">
        <f>_xlfn.XLOOKUP(Tabela1[[#This Row],[PLACA]],'Telemetria Sighra'!F:F,'Telemetria Sighra'!I:I,0)</f>
        <v>1501.65</v>
      </c>
      <c r="T53" s="104">
        <f>IFERROR((Tabela1[[#This Row],[LITROS CONSUMIDOS]]*$U$1)/Tabela1[[#This Row],[HODÔMETRO]],"-")</f>
        <v>3.1842728397243336</v>
      </c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</row>
    <row r="54" spans="1:36" ht="15.6" x14ac:dyDescent="0.3">
      <c r="A54" s="37" t="s">
        <v>32</v>
      </c>
      <c r="B54" s="37">
        <v>2024</v>
      </c>
      <c r="C54" s="38" t="s">
        <v>81</v>
      </c>
      <c r="D54" s="38" t="s">
        <v>43</v>
      </c>
      <c r="E54" s="38" t="str">
        <f>IFERROR(_xlfn.XLOOKUP(Tabela1[[#This Row],[PLACA]],'Telemetria Sighra'!F:F,'Telemetria Sighra'!T:T),"NÃO EMBARCADO")</f>
        <v>ALEX DE OLIVEIRA RODRIGUES - 50100</v>
      </c>
      <c r="F54" s="44" cm="1">
        <f t="array" ref="F54">SUMPRODUCT((ISNUMBER(FIND(C54,Faturamento!$F$2:$F$1014)))*(Faturamento!$AA$2:$AA$1014))</f>
        <v>1896</v>
      </c>
      <c r="G54" s="44">
        <f>Tabela1[[#This Row],[HODÔMETRO]]-Tabela1[[#This Row],[KM CARREGADO]]</f>
        <v>1867.4800000000105</v>
      </c>
      <c r="H54" s="39">
        <f>_xlfn.XLOOKUP(C54,'Telemetria Sighra'!F:F,'Telemetria Sighra'!R:R,0)</f>
        <v>3763.4800000000105</v>
      </c>
      <c r="I54" s="71">
        <f>SUMIF(Faturamento!AC:AC,C54,Faturamento!T:T)</f>
        <v>41124.25</v>
      </c>
      <c r="J54" s="80" cm="1">
        <f t="array" ref="J54">SUMPRODUCT((ISNUMBER(FIND(C54,Faturamento!$F$2:$F$1014)))*(Faturamento!$R$2:$R$1014))</f>
        <v>235743</v>
      </c>
      <c r="K54" s="40">
        <f ca="1">$AH$2/30*$AA$1</f>
        <v>9479.7957222222212</v>
      </c>
      <c r="L54" s="40">
        <v>4.4694000000000003</v>
      </c>
      <c r="M54" s="40">
        <v>47896</v>
      </c>
      <c r="N54" s="92">
        <f ca="1">Tabela1[[#This Row],[RESULTADO]]/Tabela1[[#This Row],[EBITDA ESTIMADO]]</f>
        <v>0.30950302250245804</v>
      </c>
      <c r="O54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14823.95676577773</v>
      </c>
      <c r="P54" s="92">
        <f ca="1">IFERROR(Tabela1[[#This Row],[RESULTADO]]/Tabela1[[#This Row],[FATURAMENTO]],"-")</f>
        <v>0.36046752866685056</v>
      </c>
      <c r="Q54" s="41">
        <f>IFERROR(I54/H54,"-")</f>
        <v>10.927187071540139</v>
      </c>
      <c r="R54" s="42">
        <f>_xlfn.XLOOKUP(C54,'Telemetria Sighra'!F:F,'Telemetria Sighra'!S:S,0)</f>
        <v>1.6168240358097135</v>
      </c>
      <c r="S54" s="44">
        <f>_xlfn.XLOOKUP(Tabela1[[#This Row],[PLACA]],'Telemetria Sighra'!F:F,'Telemetria Sighra'!I:I,0)</f>
        <v>2327.86</v>
      </c>
      <c r="T54" s="104">
        <f>IFERROR((Tabela1[[#This Row],[LITROS CONSUMIDOS]]*$U$1)/Tabela1[[#This Row],[HODÔMETRO]],"-")</f>
        <v>3.7112353460095342</v>
      </c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</row>
    <row r="55" spans="1:36" ht="15.6" x14ac:dyDescent="0.3">
      <c r="A55" s="37" t="s">
        <v>32</v>
      </c>
      <c r="B55" s="37">
        <v>2021</v>
      </c>
      <c r="C55" s="38" t="s">
        <v>98</v>
      </c>
      <c r="D55" s="38" t="s">
        <v>34</v>
      </c>
      <c r="E55" s="38" t="str">
        <f>IFERROR(_xlfn.XLOOKUP(Tabela1[[#This Row],[PLACA]],'Telemetria Sighra'!F:F,'Telemetria Sighra'!T:T),"NÃO EMBARCADO")</f>
        <v>ELENILDO GOMES DA SILVA - 10843</v>
      </c>
      <c r="F55" s="44" cm="1">
        <f t="array" ref="F55">SUMPRODUCT((ISNUMBER(FIND(C55,Faturamento!$F$2:$F$1014)))*(Faturamento!$AA$2:$AA$1014))</f>
        <v>2133</v>
      </c>
      <c r="G55" s="44">
        <f>Tabela1[[#This Row],[HODÔMETRO]]-Tabela1[[#This Row],[KM CARREGADO]]</f>
        <v>554.43000000005122</v>
      </c>
      <c r="H55" s="39">
        <f>_xlfn.XLOOKUP(C55,'Telemetria Sighra'!F:F,'Telemetria Sighra'!R:R,0)</f>
        <v>2687.4300000000512</v>
      </c>
      <c r="I55" s="71">
        <f>SUMIF(Faturamento!AC:AC,C55,Faturamento!T:T)</f>
        <v>36457.620000000003</v>
      </c>
      <c r="J55" s="80" cm="1">
        <f t="array" ref="J55">SUMPRODUCT((ISNUMBER(FIND(C55,Faturamento!$F$2:$F$1014)))*(Faturamento!$R$2:$R$1014))</f>
        <v>177843</v>
      </c>
      <c r="K55" s="40">
        <f ca="1">$AH$2/30*$AA$1</f>
        <v>9479.7957222222212</v>
      </c>
      <c r="L55" s="40">
        <v>4.4694000000000003</v>
      </c>
      <c r="M55" s="40">
        <v>39990</v>
      </c>
      <c r="N55" s="92">
        <f ca="1">Tabela1[[#This Row],[RESULTADO]]/Tabela1[[#This Row],[EBITDA ESTIMADO]]</f>
        <v>0.37425918068961123</v>
      </c>
      <c r="O55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14966.624635777553</v>
      </c>
      <c r="P55" s="92">
        <f ca="1">IFERROR(Tabela1[[#This Row],[RESULTADO]]/Tabela1[[#This Row],[FATURAMENTO]],"-")</f>
        <v>0.4105211650068642</v>
      </c>
      <c r="Q55" s="41">
        <f>IFERROR(I55/H55,"-")</f>
        <v>13.565979392951373</v>
      </c>
      <c r="R55" s="42">
        <f>_xlfn.XLOOKUP(C55,'Telemetria Sighra'!F:F,'Telemetria Sighra'!S:S,0)</f>
        <v>1.3177646158975465</v>
      </c>
      <c r="S55" s="44">
        <f>_xlfn.XLOOKUP(Tabela1[[#This Row],[PLACA]],'Telemetria Sighra'!F:F,'Telemetria Sighra'!I:I,0)</f>
        <v>2039.56</v>
      </c>
      <c r="T55" s="104">
        <f>IFERROR((Tabela1[[#This Row],[LITROS CONSUMIDOS]]*$U$1)/Tabela1[[#This Row],[HODÔMETRO]],"-")</f>
        <v>4.5535548832898964</v>
      </c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</row>
    <row r="56" spans="1:36" ht="15.6" x14ac:dyDescent="0.3">
      <c r="A56" s="37" t="s">
        <v>32</v>
      </c>
      <c r="B56" s="37">
        <v>2024</v>
      </c>
      <c r="C56" s="38" t="s">
        <v>84</v>
      </c>
      <c r="D56" s="38" t="s">
        <v>57</v>
      </c>
      <c r="E56" s="38" t="str">
        <f>IFERROR(_xlfn.XLOOKUP(Tabela1[[#This Row],[PLACA]],'Telemetria Sighra'!F:F,'Telemetria Sighra'!T:T),"NÃO EMBARCADO")</f>
        <v>JOAQUIM RAIMUNDO PORTES JUNIOR - 195</v>
      </c>
      <c r="F56" s="44" cm="1">
        <f t="array" ref="F56">SUMPRODUCT((ISNUMBER(FIND(C56,Faturamento!$F$2:$F$1014)))*(Faturamento!$AA$2:$AA$1014))</f>
        <v>2868</v>
      </c>
      <c r="G56" s="44">
        <f>Tabela1[[#This Row],[HODÔMETRO]]-Tabela1[[#This Row],[KM CARREGADO]]</f>
        <v>821.73000000001048</v>
      </c>
      <c r="H56" s="39">
        <f>_xlfn.XLOOKUP(C56,'Telemetria Sighra'!F:F,'Telemetria Sighra'!R:R,0)</f>
        <v>3689.7300000000105</v>
      </c>
      <c r="I56" s="71">
        <f>SUMIF(Faturamento!AC:AC,C56,Faturamento!T:T)</f>
        <v>41228.520000000004</v>
      </c>
      <c r="J56" s="80" cm="1">
        <f t="array" ref="J56">SUMPRODUCT((ISNUMBER(FIND(C56,Faturamento!$F$2:$F$1014)))*(Faturamento!$R$2:$R$1014))</f>
        <v>220246</v>
      </c>
      <c r="K56" s="40">
        <f ca="1">$AH$2/30*$AA$1</f>
        <v>9479.7957222222212</v>
      </c>
      <c r="L56" s="40">
        <v>4.4694000000000003</v>
      </c>
      <c r="M56" s="40">
        <v>53428</v>
      </c>
      <c r="N56" s="92">
        <f ca="1">Tabela1[[#This Row],[RESULTADO]]/Tabela1[[#This Row],[EBITDA ESTIMADO]]</f>
        <v>0.28557769363962215</v>
      </c>
      <c r="O56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15257.845015777733</v>
      </c>
      <c r="P56" s="92">
        <f ca="1">IFERROR(Tabela1[[#This Row],[RESULTADO]]/Tabela1[[#This Row],[FATURAMENTO]],"-")</f>
        <v>0.37007986257517206</v>
      </c>
      <c r="Q56" s="41">
        <f>IFERROR(I56/H56,"-")</f>
        <v>11.173858249790605</v>
      </c>
      <c r="R56" s="42">
        <f>_xlfn.XLOOKUP(C56,'Telemetria Sighra'!F:F,'Telemetria Sighra'!S:S,0)</f>
        <v>1.4356536185477564</v>
      </c>
      <c r="S56" s="44">
        <f>_xlfn.XLOOKUP(Tabela1[[#This Row],[PLACA]],'Telemetria Sighra'!F:F,'Telemetria Sighra'!I:I,0)</f>
        <v>2570.23</v>
      </c>
      <c r="T56" s="104">
        <f>IFERROR((Tabela1[[#This Row],[LITROS CONSUMIDOS]]*$U$1)/Tabela1[[#This Row],[HODÔMETRO]],"-")</f>
        <v>4.1795415924742345</v>
      </c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</row>
    <row r="57" spans="1:36" ht="15.6" x14ac:dyDescent="0.3">
      <c r="A57" s="37" t="s">
        <v>32</v>
      </c>
      <c r="B57" s="37">
        <v>2024</v>
      </c>
      <c r="C57" s="38" t="s">
        <v>100</v>
      </c>
      <c r="D57" s="38" t="s">
        <v>37</v>
      </c>
      <c r="E57" s="38" t="str">
        <f>IFERROR(_xlfn.XLOOKUP(Tabela1[[#This Row],[PLACA]],'Telemetria Sighra'!F:F,'Telemetria Sighra'!T:T),"NÃO EMBARCADO")</f>
        <v>WALDECIR JOSE XAVIER - 135</v>
      </c>
      <c r="F57" s="44" cm="1">
        <f t="array" ref="F57">SUMPRODUCT((ISNUMBER(FIND(C57,Faturamento!$F$2:$F$1014)))*(Faturamento!$AA$2:$AA$1014))</f>
        <v>1690</v>
      </c>
      <c r="G57" s="44">
        <f>Tabela1[[#This Row],[HODÔMETRO]]-Tabela1[[#This Row],[KM CARREGADO]]</f>
        <v>993.96999999997206</v>
      </c>
      <c r="H57" s="39">
        <f>_xlfn.XLOOKUP(C57,'Telemetria Sighra'!F:F,'Telemetria Sighra'!R:R,0)</f>
        <v>2683.9699999999721</v>
      </c>
      <c r="I57" s="71">
        <f>SUMIF(Faturamento!AC:AC,C57,Faturamento!T:T)</f>
        <v>36739.29</v>
      </c>
      <c r="J57" s="80" cm="1">
        <f t="array" ref="J57">SUMPRODUCT((ISNUMBER(FIND(C57,Faturamento!$F$2:$F$1014)))*(Faturamento!$R$2:$R$1014))</f>
        <v>107981</v>
      </c>
      <c r="K57" s="40">
        <f ca="1">$AH$2/30*$AA$1</f>
        <v>9479.7957222222212</v>
      </c>
      <c r="L57" s="40">
        <v>4.4694000000000003</v>
      </c>
      <c r="M57" s="40">
        <v>69761</v>
      </c>
      <c r="N57" s="92">
        <f ca="1">Tabela1[[#This Row],[RESULTADO]]/Tabela1[[#This Row],[EBITDA ESTIMADO]]</f>
        <v>0.21880074482558884</v>
      </c>
      <c r="O57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15263.758759777904</v>
      </c>
      <c r="P57" s="92">
        <f ca="1">IFERROR(Tabela1[[#This Row],[RESULTADO]]/Tabela1[[#This Row],[FATURAMENTO]],"-")</f>
        <v>0.41546145175309329</v>
      </c>
      <c r="Q57" s="41">
        <f>IFERROR(I57/H57,"-")</f>
        <v>13.688413059758634</v>
      </c>
      <c r="R57" s="42">
        <f>_xlfn.XLOOKUP(C57,'Telemetria Sighra'!F:F,'Telemetria Sighra'!S:S,0)</f>
        <v>1.5120777845377316</v>
      </c>
      <c r="S57" s="44">
        <f>_xlfn.XLOOKUP(Tabela1[[#This Row],[PLACA]],'Telemetria Sighra'!F:F,'Telemetria Sighra'!I:I,0)</f>
        <v>1775.16</v>
      </c>
      <c r="T57" s="104">
        <f>IFERROR((Tabela1[[#This Row],[LITROS CONSUMIDOS]]*$U$1)/Tabela1[[#This Row],[HODÔMETRO]],"-")</f>
        <v>3.9683603020898564</v>
      </c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</row>
    <row r="58" spans="1:36" ht="15.6" x14ac:dyDescent="0.3">
      <c r="A58" s="37" t="s">
        <v>45</v>
      </c>
      <c r="B58" s="37">
        <v>2025</v>
      </c>
      <c r="C58" s="38" t="s">
        <v>83</v>
      </c>
      <c r="D58" s="38" t="s">
        <v>37</v>
      </c>
      <c r="E58" s="38" t="str">
        <f>IFERROR(_xlfn.XLOOKUP(Tabela1[[#This Row],[PLACA]],'Telemetria Sighra'!F:F,'Telemetria Sighra'!T:T),"NÃO EMBARCADO")</f>
        <v>VITOR RAFAEL PEDROZO - 143</v>
      </c>
      <c r="F58" s="44" cm="1">
        <f t="array" ref="F58">SUMPRODUCT((ISNUMBER(FIND(C58,Faturamento!$F$2:$F$1014)))*(Faturamento!$AA$2:$AA$1014))</f>
        <v>1896</v>
      </c>
      <c r="G58" s="44">
        <f>Tabela1[[#This Row],[HODÔMETRO]]-Tabela1[[#This Row],[KM CARREGADO]]</f>
        <v>1899.2900000000081</v>
      </c>
      <c r="H58" s="39">
        <f>_xlfn.XLOOKUP(C58,'Telemetria Sighra'!F:F,'Telemetria Sighra'!R:R,0)</f>
        <v>3795.2900000000081</v>
      </c>
      <c r="I58" s="71">
        <f>SUMIF(Faturamento!AC:AC,C58,Faturamento!T:T)</f>
        <v>42151.259999999995</v>
      </c>
      <c r="J58" s="80" cm="1">
        <f t="array" ref="J58">SUMPRODUCT((ISNUMBER(FIND(C58,Faturamento!$F$2:$F$1014)))*(Faturamento!$R$2:$R$1014))</f>
        <v>238540</v>
      </c>
      <c r="K58" s="40">
        <f ca="1">$AH$2/30*$AA$1</f>
        <v>9479.7957222222212</v>
      </c>
      <c r="L58" s="40">
        <v>4.4694000000000003</v>
      </c>
      <c r="M58" s="40">
        <v>69761</v>
      </c>
      <c r="N58" s="92">
        <f ca="1">Tabela1[[#This Row],[RESULTADO]]/Tabela1[[#This Row],[EBITDA ESTIMADO]]</f>
        <v>0.22518018881291463</v>
      </c>
      <c r="O58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15708.795151777736</v>
      </c>
      <c r="P58" s="92">
        <f ca="1">IFERROR(Tabela1[[#This Row],[RESULTADO]]/Tabela1[[#This Row],[FATURAMENTO]],"-")</f>
        <v>0.37267676344141881</v>
      </c>
      <c r="Q58" s="41">
        <f>IFERROR(I58/H58,"-")</f>
        <v>11.106202688068608</v>
      </c>
      <c r="R58" s="42">
        <f>_xlfn.XLOOKUP(C58,'Telemetria Sighra'!F:F,'Telemetria Sighra'!S:S,0)</f>
        <v>1.8209172903473421</v>
      </c>
      <c r="S58" s="44">
        <f>_xlfn.XLOOKUP(Tabela1[[#This Row],[PLACA]],'Telemetria Sighra'!F:F,'Telemetria Sighra'!I:I,0)</f>
        <v>2084.4</v>
      </c>
      <c r="T58" s="104">
        <f>IFERROR((Tabela1[[#This Row],[LITROS CONSUMIDOS]]*$U$1)/Tabela1[[#This Row],[HODÔMETRO]],"-")</f>
        <v>3.2952422608021981</v>
      </c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</row>
    <row r="59" spans="1:36" ht="15.6" x14ac:dyDescent="0.3">
      <c r="A59" s="37" t="s">
        <v>28</v>
      </c>
      <c r="B59" s="37">
        <v>2020</v>
      </c>
      <c r="C59" s="38" t="s">
        <v>103</v>
      </c>
      <c r="D59" s="38" t="s">
        <v>37</v>
      </c>
      <c r="E59" s="38" t="str">
        <f>IFERROR(_xlfn.XLOOKUP(Tabela1[[#This Row],[PLACA]],'Telemetria Sighra'!F:F,'Telemetria Sighra'!T:T),"NÃO EMBARCADO")</f>
        <v>DANIEL ANTONIO DOS SANTOS JUNIOR - 224</v>
      </c>
      <c r="F59" s="44" cm="1">
        <f t="array" ref="F59">SUMPRODUCT((ISNUMBER(FIND(C59,Faturamento!$F$2:$F$1014)))*(Faturamento!$AA$2:$AA$1014))</f>
        <v>2199</v>
      </c>
      <c r="G59" s="44">
        <f>Tabela1[[#This Row],[HODÔMETRO]]-Tabela1[[#This Row],[KM CARREGADO]]</f>
        <v>23.020000000018626</v>
      </c>
      <c r="H59" s="39">
        <f>_xlfn.XLOOKUP(C59,'Telemetria Sighra'!F:F,'Telemetria Sighra'!R:R,0)</f>
        <v>2222.0200000000186</v>
      </c>
      <c r="I59" s="71">
        <f>SUMIF(Faturamento!AC:AC,C59,Faturamento!T:T)</f>
        <v>36198.19</v>
      </c>
      <c r="J59" s="80" cm="1">
        <f t="array" ref="J59">SUMPRODUCT((ISNUMBER(FIND(C59,Faturamento!$F$2:$F$1014)))*(Faturamento!$R$2:$R$1014))</f>
        <v>163526</v>
      </c>
      <c r="K59" s="40">
        <f ca="1">$AH$2/30*$AA$1</f>
        <v>9479.7957222222212</v>
      </c>
      <c r="L59" s="40">
        <v>4.4694000000000003</v>
      </c>
      <c r="M59" s="40">
        <v>69761</v>
      </c>
      <c r="N59" s="92">
        <f ca="1">Tabela1[[#This Row],[RESULTADO]]/Tabela1[[#This Row],[EBITDA ESTIMADO]]</f>
        <v>0.24064015839477212</v>
      </c>
      <c r="O59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16787.298089777698</v>
      </c>
      <c r="P59" s="92">
        <f ca="1">IFERROR(Tabela1[[#This Row],[RESULTADO]]/Tabela1[[#This Row],[FATURAMENTO]],"-")</f>
        <v>0.46376070432741795</v>
      </c>
      <c r="Q59" s="41">
        <f>IFERROR(I59/H59,"-")</f>
        <v>16.290667950783387</v>
      </c>
      <c r="R59" s="42">
        <f>_xlfn.XLOOKUP(C59,'Telemetria Sighra'!F:F,'Telemetria Sighra'!S:S,0)</f>
        <v>1.4418808354366317</v>
      </c>
      <c r="S59" s="44">
        <f>_xlfn.XLOOKUP(Tabela1[[#This Row],[PLACA]],'Telemetria Sighra'!F:F,'Telemetria Sighra'!I:I,0)</f>
        <v>1541.23</v>
      </c>
      <c r="T59" s="104">
        <f>IFERROR((Tabela1[[#This Row],[LITROS CONSUMIDOS]]*$U$1)/Tabela1[[#This Row],[HODÔMETRO]],"-")</f>
        <v>4.1616997146740013</v>
      </c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</row>
    <row r="60" spans="1:36" ht="15.6" x14ac:dyDescent="0.3">
      <c r="A60" s="37" t="s">
        <v>45</v>
      </c>
      <c r="B60" s="37">
        <v>2025</v>
      </c>
      <c r="C60" s="38" t="s">
        <v>101</v>
      </c>
      <c r="D60" s="38" t="s">
        <v>37</v>
      </c>
      <c r="E60" s="38" t="str">
        <f>IFERROR(_xlfn.XLOOKUP(Tabela1[[#This Row],[PLACA]],'Telemetria Sighra'!F:F,'Telemetria Sighra'!T:T),"NÃO EMBARCADO")</f>
        <v>AMAURI DOS SANTOS PEREIRA - 240</v>
      </c>
      <c r="F60" s="44" cm="1">
        <f t="array" ref="F60">SUMPRODUCT((ISNUMBER(FIND(C60,Faturamento!$F$2:$F$1014)))*(Faturamento!$AA$2:$AA$1014))</f>
        <v>2123</v>
      </c>
      <c r="G60" s="44">
        <f>Tabela1[[#This Row],[HODÔMETRO]]-Tabela1[[#This Row],[KM CARREGADO]]</f>
        <v>272.9600000000064</v>
      </c>
      <c r="H60" s="39">
        <f>_xlfn.XLOOKUP(C60,'Telemetria Sighra'!F:F,'Telemetria Sighra'!R:R,0)</f>
        <v>2395.9600000000064</v>
      </c>
      <c r="I60" s="71">
        <f>SUMIF(Faturamento!AC:AC,C60,Faturamento!T:T)</f>
        <v>37115.97</v>
      </c>
      <c r="J60" s="80" cm="1">
        <f t="array" ref="J60">SUMPRODUCT((ISNUMBER(FIND(C60,Faturamento!$F$2:$F$1014)))*(Faturamento!$R$2:$R$1014))</f>
        <v>119192</v>
      </c>
      <c r="K60" s="40">
        <f ca="1">$AH$2/30*$AA$1</f>
        <v>9479.7957222222212</v>
      </c>
      <c r="L60" s="40">
        <v>4.4694000000000003</v>
      </c>
      <c r="M60" s="40">
        <v>69761</v>
      </c>
      <c r="N60" s="92">
        <f ca="1">Tabela1[[#This Row],[RESULTADO]]/Tabela1[[#This Row],[EBITDA ESTIMADO]]</f>
        <v>0.24265235093788434</v>
      </c>
      <c r="O60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16927.67065377775</v>
      </c>
      <c r="P60" s="92">
        <f ca="1">IFERROR(Tabela1[[#This Row],[RESULTADO]]/Tabela1[[#This Row],[FATURAMENTO]],"-")</f>
        <v>0.45607512490654967</v>
      </c>
      <c r="Q60" s="41">
        <f>IFERROR(I60/H60,"-")</f>
        <v>15.49106412460972</v>
      </c>
      <c r="R60" s="42">
        <f>_xlfn.XLOOKUP(C60,'Telemetria Sighra'!F:F,'Telemetria Sighra'!S:S,0)</f>
        <v>1.7598434160564644</v>
      </c>
      <c r="S60" s="44">
        <f>_xlfn.XLOOKUP(Tabela1[[#This Row],[PLACA]],'Telemetria Sighra'!F:F,'Telemetria Sighra'!I:I,0)</f>
        <v>1361.57</v>
      </c>
      <c r="T60" s="104">
        <f>IFERROR((Tabela1[[#This Row],[LITROS CONSUMIDOS]]*$U$1)/Tabela1[[#This Row],[HODÔMETRO]],"-")</f>
        <v>3.4096646020801593</v>
      </c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</row>
    <row r="61" spans="1:36" ht="15.6" x14ac:dyDescent="0.3">
      <c r="A61" s="37" t="s">
        <v>32</v>
      </c>
      <c r="B61" s="37">
        <v>2024</v>
      </c>
      <c r="C61" s="38" t="s">
        <v>104</v>
      </c>
      <c r="D61" s="38" t="s">
        <v>37</v>
      </c>
      <c r="E61" s="38" t="str">
        <f>IFERROR(_xlfn.XLOOKUP(Tabela1[[#This Row],[PLACA]],'Telemetria Sighra'!F:F,'Telemetria Sighra'!T:T),"NÃO EMBARCADO")</f>
        <v>JONATAN MODESTO - 187</v>
      </c>
      <c r="F61" s="44" cm="1">
        <f t="array" ref="F61">SUMPRODUCT((ISNUMBER(FIND(C61,Faturamento!$F$2:$F$1014)))*(Faturamento!$AA$2:$AA$1014))</f>
        <v>2216</v>
      </c>
      <c r="G61" s="44">
        <f>Tabela1[[#This Row],[HODÔMETRO]]-Tabela1[[#This Row],[KM CARREGADO]]</f>
        <v>1410.7600000000093</v>
      </c>
      <c r="H61" s="39">
        <f>_xlfn.XLOOKUP(C61,'Telemetria Sighra'!F:F,'Telemetria Sighra'!R:R,0)</f>
        <v>3626.7600000000093</v>
      </c>
      <c r="I61" s="71">
        <f>SUMIF(Faturamento!AC:AC,C61,Faturamento!T:T)</f>
        <v>44163.729999999996</v>
      </c>
      <c r="J61" s="80" cm="1">
        <f t="array" ref="J61">SUMPRODUCT((ISNUMBER(FIND(C61,Faturamento!$F$2:$F$1014)))*(Faturamento!$R$2:$R$1014))</f>
        <v>178791</v>
      </c>
      <c r="K61" s="40">
        <f ca="1">$AH$2/30*$AA$1</f>
        <v>9479.7957222222212</v>
      </c>
      <c r="L61" s="40">
        <v>4.4694000000000003</v>
      </c>
      <c r="M61" s="40">
        <v>69761</v>
      </c>
      <c r="N61" s="92">
        <f ca="1">Tabela1[[#This Row],[RESULTADO]]/Tabela1[[#This Row],[EBITDA ESTIMADO]]</f>
        <v>0.26482552047387131</v>
      </c>
      <c r="O61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18474.493133777738</v>
      </c>
      <c r="P61" s="92">
        <f ca="1">IFERROR(Tabela1[[#This Row],[RESULTADO]]/Tabela1[[#This Row],[FATURAMENTO]],"-")</f>
        <v>0.41831822479165004</v>
      </c>
      <c r="Q61" s="41">
        <f>IFERROR(I61/H61,"-")</f>
        <v>12.177185697426872</v>
      </c>
      <c r="R61" s="42">
        <f>_xlfn.XLOOKUP(C61,'Telemetria Sighra'!F:F,'Telemetria Sighra'!S:S,0)</f>
        <v>1.4696919966124085</v>
      </c>
      <c r="S61" s="44">
        <f>_xlfn.XLOOKUP(Tabela1[[#This Row],[PLACA]],'Telemetria Sighra'!F:F,'Telemetria Sighra'!I:I,0)</f>
        <v>2467.83</v>
      </c>
      <c r="T61" s="104">
        <f>IFERROR((Tabela1[[#This Row],[LITROS CONSUMIDOS]]*$U$1)/Tabela1[[#This Row],[HODÔMETRO]],"-")</f>
        <v>4.0827019157595101</v>
      </c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</row>
    <row r="62" spans="1:36" ht="15.6" x14ac:dyDescent="0.3">
      <c r="A62" s="37" t="s">
        <v>32</v>
      </c>
      <c r="B62" s="37">
        <v>2023</v>
      </c>
      <c r="C62" s="38" t="s">
        <v>105</v>
      </c>
      <c r="D62" s="38" t="s">
        <v>34</v>
      </c>
      <c r="E62" s="38" t="str">
        <f>IFERROR(_xlfn.XLOOKUP(Tabela1[[#This Row],[PLACA]],'Telemetria Sighra'!F:F,'Telemetria Sighra'!T:T),"NÃO EMBARCADO")</f>
        <v>FELIPE NUNES - 251</v>
      </c>
      <c r="F62" s="44" cm="1">
        <f t="array" ref="F62">SUMPRODUCT((ISNUMBER(FIND(C62,Faturamento!$F$2:$F$1014)))*(Faturamento!$AA$2:$AA$1014))</f>
        <v>2613</v>
      </c>
      <c r="G62" s="44">
        <f>Tabela1[[#This Row],[HODÔMETRO]]-Tabela1[[#This Row],[KM CARREGADO]]</f>
        <v>416.71999999997206</v>
      </c>
      <c r="H62" s="39">
        <f>_xlfn.XLOOKUP(C62,'Telemetria Sighra'!F:F,'Telemetria Sighra'!R:R,0)</f>
        <v>3029.7199999999721</v>
      </c>
      <c r="I62" s="71">
        <f>SUMIF(Faturamento!AC:AC,C62,Faturamento!T:T)</f>
        <v>42642.42</v>
      </c>
      <c r="J62" s="80" cm="1">
        <f t="array" ref="J62">SUMPRODUCT((ISNUMBER(FIND(C62,Faturamento!$F$2:$F$1014)))*(Faturamento!$R$2:$R$1014))</f>
        <v>166866</v>
      </c>
      <c r="K62" s="40">
        <f ca="1">$AH$2/30*$AA$1</f>
        <v>9479.7957222222212</v>
      </c>
      <c r="L62" s="40">
        <v>4.4694000000000003</v>
      </c>
      <c r="M62" s="40">
        <v>39990</v>
      </c>
      <c r="N62" s="92">
        <f ca="1">Tabela1[[#This Row],[RESULTADO]]/Tabela1[[#This Row],[EBITDA ESTIMADO]]</f>
        <v>0.49066250837154046</v>
      </c>
      <c r="O62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19621.593709777902</v>
      </c>
      <c r="P62" s="92">
        <f ca="1">IFERROR(Tabela1[[#This Row],[RESULTADO]]/Tabela1[[#This Row],[FATURAMENTO]],"-")</f>
        <v>0.46014259298083698</v>
      </c>
      <c r="Q62" s="41">
        <f>IFERROR(I62/H62,"-")</f>
        <v>14.07470657354488</v>
      </c>
      <c r="R62" s="42">
        <f>_xlfn.XLOOKUP(C62,'Telemetria Sighra'!F:F,'Telemetria Sighra'!S:S,0)</f>
        <v>1.4161043019678694</v>
      </c>
      <c r="S62" s="44">
        <f>_xlfn.XLOOKUP(Tabela1[[#This Row],[PLACA]],'Telemetria Sighra'!F:F,'Telemetria Sighra'!I:I,0)</f>
        <v>2047.9</v>
      </c>
      <c r="T62" s="104">
        <f>IFERROR((Tabela1[[#This Row],[LITROS CONSUMIDOS]]*$U$1)/Tabela1[[#This Row],[HODÔMETRO]],"-")</f>
        <v>4.0556223017308906</v>
      </c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</row>
    <row r="63" spans="1:36" ht="15.6" x14ac:dyDescent="0.3">
      <c r="A63" s="37" t="s">
        <v>106</v>
      </c>
      <c r="B63" s="37">
        <v>2019</v>
      </c>
      <c r="C63" s="38" t="s">
        <v>107</v>
      </c>
      <c r="D63" s="38" t="s">
        <v>41</v>
      </c>
      <c r="E63" s="38" t="str">
        <f>IFERROR(_xlfn.XLOOKUP(Tabela1[[#This Row],[PLACA]],'Telemetria Sighra'!F:F,'Telemetria Sighra'!T:T),"NÃO EMBARCADO")</f>
        <v>GUSTAVO ANTONIO NOGUEIRA - 73</v>
      </c>
      <c r="F63" s="44" cm="1">
        <f t="array" ref="F63">SUMPRODUCT((ISNUMBER(FIND(C63,Faturamento!$F$2:$F$1014)))*(Faturamento!$AA$2:$AA$1014))</f>
        <v>1683</v>
      </c>
      <c r="G63" s="44">
        <f>Tabela1[[#This Row],[HODÔMETRO]]-Tabela1[[#This Row],[KM CARREGADO]]</f>
        <v>1752.0800000000163</v>
      </c>
      <c r="H63" s="39">
        <f>_xlfn.XLOOKUP(C63,'Telemetria Sighra'!F:F,'Telemetria Sighra'!R:R,0)</f>
        <v>3435.0800000000163</v>
      </c>
      <c r="I63" s="71">
        <f>SUMIF(Faturamento!AC:AC,C63,Faturamento!T:T)</f>
        <v>42980.979999999996</v>
      </c>
      <c r="J63" s="80" cm="1">
        <f t="array" ref="J63">SUMPRODUCT((ISNUMBER(FIND(C63,Faturamento!$F$2:$F$1014)))*(Faturamento!$R$2:$R$1014))</f>
        <v>418510</v>
      </c>
      <c r="K63" s="45">
        <f ca="1">$AD$2/30*$AA$1</f>
        <v>7856.0195277777784</v>
      </c>
      <c r="L63" s="45">
        <v>3.55</v>
      </c>
      <c r="M63" s="45">
        <v>36051</v>
      </c>
      <c r="N63" s="107">
        <f ca="1">Tabela1[[#This Row],[RESULTADO]]/Tabela1[[#This Row],[EBITDA ESTIMADO]]</f>
        <v>0.63605521267710063</v>
      </c>
      <c r="O63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22930.426472222156</v>
      </c>
      <c r="P63" s="92">
        <f ca="1">IFERROR(Tabela1[[#This Row],[RESULTADO]]/Tabela1[[#This Row],[FATURAMENTO]],"-")</f>
        <v>0.53350171336768404</v>
      </c>
      <c r="Q63" s="41">
        <f>IFERROR(I63/H63,"-")</f>
        <v>12.512366524214805</v>
      </c>
      <c r="R63" s="42">
        <f>_xlfn.XLOOKUP(C63,'Telemetria Sighra'!F:F,'Telemetria Sighra'!S:S,0)</f>
        <v>1.9231182585040107</v>
      </c>
      <c r="S63" s="44">
        <f>_xlfn.XLOOKUP(Tabela1[[#This Row],[PLACA]],'Telemetria Sighra'!F:F,'Telemetria Sighra'!I:I,0)</f>
        <v>1786.51</v>
      </c>
      <c r="T63" s="104">
        <f>IFERROR((Tabela1[[#This Row],[LITROS CONSUMIDOS]]*$U$1)/Tabela1[[#This Row],[HODÔMETRO]],"-")</f>
        <v>3.1204688100422548</v>
      </c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</row>
    <row r="64" spans="1:36" ht="15.6" x14ac:dyDescent="0.3">
      <c r="A64" s="37" t="s">
        <v>32</v>
      </c>
      <c r="B64" s="37">
        <v>2023</v>
      </c>
      <c r="C64" s="38" t="s">
        <v>91</v>
      </c>
      <c r="D64" s="38" t="s">
        <v>34</v>
      </c>
      <c r="E64" s="38" t="str">
        <f>IFERROR(_xlfn.XLOOKUP(Tabela1[[#This Row],[PLACA]],'Telemetria Sighra'!F:F,'Telemetria Sighra'!T:T),"NÃO EMBARCADO")</f>
        <v>RAFAEL SOUZA MIRANDA - 5004</v>
      </c>
      <c r="F64" s="44" cm="1">
        <f t="array" ref="F64">SUMPRODUCT((ISNUMBER(FIND(C64,Faturamento!$F$2:$F$1014)))*(Faturamento!$AA$2:$AA$1014))</f>
        <v>2779</v>
      </c>
      <c r="G64" s="44">
        <f>Tabela1[[#This Row],[HODÔMETRO]]-Tabela1[[#This Row],[KM CARREGADO]]</f>
        <v>-79.950000000011642</v>
      </c>
      <c r="H64" s="39">
        <f>_xlfn.XLOOKUP(C64,'Telemetria Sighra'!F:F,'Telemetria Sighra'!R:R,0)</f>
        <v>2699.0499999999884</v>
      </c>
      <c r="I64" s="71">
        <f>SUMIF(Faturamento!AC:AC,C64,Faturamento!T:T)</f>
        <v>46662.6</v>
      </c>
      <c r="J64" s="80" cm="1">
        <f t="array" ref="J64">SUMPRODUCT((ISNUMBER(FIND(C64,Faturamento!$F$2:$F$1014)))*(Faturamento!$R$2:$R$1014))</f>
        <v>225111</v>
      </c>
      <c r="K64" s="40">
        <f ca="1">$AH$2/30*$AA$1</f>
        <v>9479.7957222222212</v>
      </c>
      <c r="L64" s="40">
        <v>4.4694000000000003</v>
      </c>
      <c r="M64" s="40">
        <v>39990</v>
      </c>
      <c r="N64" s="92">
        <f ca="1">Tabela1[[#This Row],[RESULTADO]]/Tabela1[[#This Row],[EBITDA ESTIMADO]]</f>
        <v>0.62814879239254373</v>
      </c>
      <c r="O64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25119.670207777825</v>
      </c>
      <c r="P64" s="92">
        <f ca="1">IFERROR(Tabela1[[#This Row],[RESULTADO]]/Tabela1[[#This Row],[FATURAMENTO]],"-")</f>
        <v>0.53832555853676878</v>
      </c>
      <c r="Q64" s="41">
        <f>IFERROR(I64/H64,"-")</f>
        <v>17.288527444841776</v>
      </c>
      <c r="R64" s="42">
        <f>_xlfn.XLOOKUP(C64,'Telemetria Sighra'!F:F,'Telemetria Sighra'!S:S,0)</f>
        <v>1.4514130855594272</v>
      </c>
      <c r="S64" s="44">
        <f>_xlfn.XLOOKUP(Tabela1[[#This Row],[PLACA]],'Telemetria Sighra'!F:F,'Telemetria Sighra'!I:I,0)</f>
        <v>1859.76</v>
      </c>
      <c r="T64" s="104">
        <f>IFERROR((Tabela1[[#This Row],[LITROS CONSUMIDOS]]*$U$1)/Tabela1[[#This Row],[HODÔMETRO]],"-")</f>
        <v>4.1342546451529421</v>
      </c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</row>
    <row r="65" spans="1:36" ht="15.6" x14ac:dyDescent="0.3">
      <c r="A65" s="37" t="s">
        <v>32</v>
      </c>
      <c r="B65" s="37">
        <v>2021</v>
      </c>
      <c r="C65" s="38" t="s">
        <v>102</v>
      </c>
      <c r="D65" s="38" t="s">
        <v>34</v>
      </c>
      <c r="E65" s="38" t="str">
        <f>IFERROR(_xlfn.XLOOKUP(Tabela1[[#This Row],[PLACA]],'Telemetria Sighra'!F:F,'Telemetria Sighra'!T:T),"NÃO EMBARCADO")</f>
        <v>CLAUDINIR RODRIGUES GARCIA - 186</v>
      </c>
      <c r="F65" s="44" cm="1">
        <f t="array" ref="F65">SUMPRODUCT((ISNUMBER(FIND(C65,Faturamento!$F$2:$F$1014)))*(Faturamento!$AA$2:$AA$1014))</f>
        <v>2787</v>
      </c>
      <c r="G65" s="44">
        <f>Tabela1[[#This Row],[HODÔMETRO]]-Tabela1[[#This Row],[KM CARREGADO]]</f>
        <v>1077.2699999999604</v>
      </c>
      <c r="H65" s="39">
        <f>_xlfn.XLOOKUP(C65,'Telemetria Sighra'!F:F,'Telemetria Sighra'!R:R,0)</f>
        <v>3864.2699999999604</v>
      </c>
      <c r="I65" s="71">
        <f>SUMIF(Faturamento!AC:AC,C65,Faturamento!T:T)</f>
        <v>54119.66</v>
      </c>
      <c r="J65" s="80" cm="1">
        <f t="array" ref="J65">SUMPRODUCT((ISNUMBER(FIND(C65,Faturamento!$F$2:$F$1014)))*(Faturamento!$R$2:$R$1014))</f>
        <v>239071</v>
      </c>
      <c r="K65" s="40">
        <f ca="1">$AH$2/30*$AA$1</f>
        <v>9479.7957222222212</v>
      </c>
      <c r="L65" s="40">
        <v>4.4694000000000003</v>
      </c>
      <c r="M65" s="40">
        <v>39990</v>
      </c>
      <c r="N65" s="92">
        <f ca="1">Tabela1[[#This Row],[RESULTADO]]/Tabela1[[#This Row],[EBITDA ESTIMADO]]</f>
        <v>0.68439349686866624</v>
      </c>
      <c r="O65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27368.895939777962</v>
      </c>
      <c r="P65" s="92">
        <f ca="1">IFERROR(Tabela1[[#This Row],[RESULTADO]]/Tabela1[[#This Row],[FATURAMENTO]],"-")</f>
        <v>0.50571078864460639</v>
      </c>
      <c r="Q65" s="41">
        <f>IFERROR(I65/H65,"-")</f>
        <v>14.005144568055689</v>
      </c>
      <c r="R65" s="42">
        <f>_xlfn.XLOOKUP(C65,'Telemetria Sighra'!F:F,'Telemetria Sighra'!S:S,0)</f>
        <v>1.5079230676182411</v>
      </c>
      <c r="S65" s="44">
        <f>_xlfn.XLOOKUP(Tabela1[[#This Row],[PLACA]],'Telemetria Sighra'!F:F,'Telemetria Sighra'!I:I,0)</f>
        <v>2562.77</v>
      </c>
      <c r="T65" s="104">
        <f>IFERROR((Tabela1[[#This Row],[LITROS CONSUMIDOS]]*$U$1)/Tabela1[[#This Row],[HODÔMETRO]],"-")</f>
        <v>3.9791784735539069</v>
      </c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</row>
    <row r="66" spans="1:36" ht="15.6" x14ac:dyDescent="0.3">
      <c r="A66" s="37" t="s">
        <v>32</v>
      </c>
      <c r="B66" s="37">
        <v>2021</v>
      </c>
      <c r="C66" s="38" t="s">
        <v>108</v>
      </c>
      <c r="D66" s="38" t="s">
        <v>34</v>
      </c>
      <c r="E66" s="38" t="str">
        <f>IFERROR(_xlfn.XLOOKUP(Tabela1[[#This Row],[PLACA]],'Telemetria Sighra'!F:F,'Telemetria Sighra'!T:T),"NÃO EMBARCADO")</f>
        <v>ANTONIO HENRIQUE DE SOUZA - 50102</v>
      </c>
      <c r="F66" s="44" cm="1">
        <f t="array" ref="F66">SUMPRODUCT((ISNUMBER(FIND(C66,Faturamento!$F$2:$F$1014)))*(Faturamento!$AA$2:$AA$1014))</f>
        <v>2621</v>
      </c>
      <c r="G66" s="44">
        <f>Tabela1[[#This Row],[HODÔMETRO]]-Tabela1[[#This Row],[KM CARREGADO]]</f>
        <v>717.38999999995576</v>
      </c>
      <c r="H66" s="39">
        <f>_xlfn.XLOOKUP(C66,'Telemetria Sighra'!F:F,'Telemetria Sighra'!R:R,0)</f>
        <v>3338.3899999999558</v>
      </c>
      <c r="I66" s="71">
        <f>SUMIF(Faturamento!AC:AC,C66,Faturamento!T:T)</f>
        <v>53683.770000000004</v>
      </c>
      <c r="J66" s="80" cm="1">
        <f t="array" ref="J66">SUMPRODUCT((ISNUMBER(FIND(C66,Faturamento!$F$2:$F$1014)))*(Faturamento!$R$2:$R$1014))</f>
        <v>238988</v>
      </c>
      <c r="K66" s="40">
        <f ca="1">$AH$2/30*$AA$1</f>
        <v>9479.7957222222212</v>
      </c>
      <c r="L66" s="40">
        <v>4.4694000000000003</v>
      </c>
      <c r="M66" s="40">
        <v>39990</v>
      </c>
      <c r="N66" s="92">
        <f ca="1">Tabela1[[#This Row],[RESULTADO]]/Tabela1[[#This Row],[EBITDA ESTIMADO]]</f>
        <v>0.73226741714873678</v>
      </c>
      <c r="O66" s="40">
        <f ca="1">Tabela1[[#This Row],[FATURAMENTO]]-Tabela1[[#This Row],[CUSTO FIXO (SEM DEPREC.)]]-(Tabela1[[#This Row],[CUSTO VARIÁVEL]]*Tabela1[[#This Row],[HODÔMETRO]])+IF(COUNTIFS('ROTAS REALIZADAS'!A:A,Tabela1[[#This Row],[PLACA]],'ROTAS REALIZADAS'!A:A,"SANTOS/PAULINIA")&gt;0,$AA$1*1233.33,0)</f>
        <v>29283.374011777982</v>
      </c>
      <c r="P66" s="92">
        <f ca="1">IFERROR(Tabela1[[#This Row],[RESULTADO]]/Tabela1[[#This Row],[FATURAMENTO]],"-")</f>
        <v>0.54547909008212314</v>
      </c>
      <c r="Q66" s="41">
        <f>IFERROR(I66/H66,"-")</f>
        <v>16.080736522695286</v>
      </c>
      <c r="R66" s="42">
        <f>_xlfn.XLOOKUP(C66,'Telemetria Sighra'!F:F,'Telemetria Sighra'!S:S,0)</f>
        <v>1.5166981697897166</v>
      </c>
      <c r="S66" s="44">
        <f>_xlfn.XLOOKUP(Tabela1[[#This Row],[PLACA]],'Telemetria Sighra'!F:F,'Telemetria Sighra'!I:I,0)</f>
        <v>2200.84</v>
      </c>
      <c r="T66" s="104">
        <f>IFERROR((Tabela1[[#This Row],[LITROS CONSUMIDOS]]*$U$1)/Tabela1[[#This Row],[HODÔMETRO]],"-")</f>
        <v>3.955511489071132</v>
      </c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</row>
    <row r="67" spans="1:36" ht="15" customHeight="1" x14ac:dyDescent="0.3">
      <c r="A67" s="30"/>
      <c r="B67" s="30"/>
      <c r="C67" s="31"/>
      <c r="D67" s="31"/>
      <c r="E67" s="31"/>
      <c r="F67" s="32"/>
      <c r="G67" s="32"/>
      <c r="H67" s="33">
        <f>SUBTOTAL(109,Tabela1[HODÔMETRO])</f>
        <v>151718.49999999988</v>
      </c>
      <c r="I67" s="23">
        <f>SUBTOTAL(109,Tabela1[FATURAMENTO])</f>
        <v>1464867.02</v>
      </c>
      <c r="J67" s="24"/>
      <c r="K67" s="34"/>
      <c r="L67" s="34"/>
      <c r="M67" s="34">
        <f>SUBTOTAL(109,Tabela1[EBITDA ESTIMADO])</f>
        <v>3134411</v>
      </c>
      <c r="N67" s="94">
        <f ca="1">SUBTOTAL(101,Tabela1[EBITDA ATINGIDO])</f>
        <v>6.2139064945165558E-2</v>
      </c>
      <c r="O67" s="34">
        <f ca="1">SUBTOTAL(109,Tabela1[RESULTADO])</f>
        <v>202319.2438575562</v>
      </c>
      <c r="P67" s="94"/>
      <c r="Q67" s="34">
        <f>SUBTOTAL(101,Tabela1[FATURAMENTO POR KM])</f>
        <v>9.3803230693637687</v>
      </c>
      <c r="R67" s="35">
        <f>SUBTOTAL(101,Tabela1[MÉDIA KM/L])</f>
        <v>1.6701986722709217</v>
      </c>
      <c r="S67" s="32">
        <f>SUBTOTAL(109,Tabela1[LITROS CONSUMIDOS])</f>
        <v>90594.949999999983</v>
      </c>
      <c r="T67" s="10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</row>
    <row r="68" spans="1:36" ht="15" customHeight="1" x14ac:dyDescent="0.3">
      <c r="A68" s="50"/>
      <c r="B68" s="50"/>
      <c r="C68" s="50"/>
      <c r="D68" s="50"/>
      <c r="E68" s="50"/>
      <c r="F68" s="51"/>
      <c r="G68" s="51"/>
      <c r="H68" s="50"/>
      <c r="I68" s="52"/>
      <c r="J68" s="53"/>
      <c r="K68" s="50"/>
      <c r="L68" s="50"/>
      <c r="M68" s="50"/>
      <c r="N68" s="108"/>
      <c r="O68" s="52"/>
      <c r="P68" s="95"/>
      <c r="Q68" s="50"/>
      <c r="R68" s="36"/>
      <c r="S68" s="54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</row>
    <row r="69" spans="1:36" ht="15" customHeight="1" x14ac:dyDescent="0.3">
      <c r="A69" s="50"/>
      <c r="B69" s="50"/>
      <c r="C69" s="50"/>
      <c r="D69" s="50"/>
      <c r="E69" s="50"/>
      <c r="F69" s="51"/>
      <c r="G69" s="51"/>
      <c r="H69" s="55"/>
      <c r="I69" s="52"/>
      <c r="J69" s="53"/>
      <c r="K69" s="50"/>
      <c r="L69" s="50"/>
      <c r="M69" s="50"/>
      <c r="N69" s="108"/>
      <c r="O69" s="52"/>
      <c r="P69" s="95"/>
      <c r="Q69" s="50"/>
      <c r="R69" s="36"/>
      <c r="S69" s="54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</row>
    <row r="70" spans="1:36" ht="15" customHeight="1" x14ac:dyDescent="0.3">
      <c r="A70" s="50"/>
      <c r="B70" s="50"/>
      <c r="C70" s="50"/>
      <c r="D70" s="50"/>
      <c r="E70" s="50"/>
      <c r="F70" s="51"/>
      <c r="G70" s="51"/>
      <c r="H70" s="50"/>
      <c r="I70" s="52"/>
      <c r="J70" s="53"/>
      <c r="K70" s="50"/>
      <c r="L70" s="50"/>
      <c r="M70" s="50"/>
      <c r="N70" s="108"/>
      <c r="O70" s="52"/>
      <c r="P70" s="95"/>
      <c r="Q70" s="50"/>
      <c r="R70" s="36"/>
      <c r="S70" s="54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</row>
    <row r="71" spans="1:36" ht="15" customHeight="1" x14ac:dyDescent="0.3">
      <c r="A71" s="50"/>
      <c r="B71" s="50"/>
      <c r="C71" s="50"/>
      <c r="D71" s="50"/>
      <c r="E71" s="50"/>
      <c r="F71" s="51"/>
      <c r="G71" s="51"/>
      <c r="H71" s="55"/>
      <c r="I71" s="52"/>
      <c r="J71" s="53"/>
      <c r="K71" s="50"/>
      <c r="L71" s="50"/>
      <c r="M71" s="50"/>
      <c r="N71" s="108"/>
      <c r="O71" s="52"/>
      <c r="P71" s="95"/>
      <c r="Q71" s="50"/>
      <c r="R71" s="36"/>
      <c r="S71" s="4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</row>
    <row r="72" spans="1:36" ht="15" customHeight="1" x14ac:dyDescent="0.3">
      <c r="A72" s="50"/>
      <c r="B72" s="50"/>
      <c r="C72" s="50"/>
      <c r="D72" s="50"/>
      <c r="E72" s="50"/>
      <c r="F72" s="51"/>
      <c r="G72" s="51"/>
      <c r="H72" s="60"/>
      <c r="I72" s="52"/>
      <c r="J72" s="53"/>
      <c r="K72" s="50"/>
      <c r="L72" s="50"/>
      <c r="M72" s="50"/>
      <c r="N72" s="108"/>
      <c r="O72" s="52"/>
      <c r="P72" s="95"/>
      <c r="Q72" s="50"/>
      <c r="R72" s="36"/>
      <c r="S72" s="54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</row>
    <row r="73" spans="1:36" ht="15" customHeight="1" x14ac:dyDescent="0.3">
      <c r="A73" s="50"/>
      <c r="B73" s="50"/>
      <c r="C73" s="50"/>
      <c r="D73" s="50"/>
      <c r="E73" s="50"/>
      <c r="F73" s="51"/>
      <c r="G73" s="51"/>
      <c r="H73" s="55"/>
      <c r="I73" s="52"/>
      <c r="J73" s="53"/>
      <c r="K73" s="50"/>
      <c r="L73" s="50"/>
      <c r="M73" s="50"/>
      <c r="N73" s="108"/>
      <c r="O73" s="52"/>
      <c r="P73" s="95"/>
      <c r="Q73" s="50"/>
      <c r="R73" s="36"/>
      <c r="S73" s="54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</row>
    <row r="74" spans="1:36" ht="15" customHeight="1" x14ac:dyDescent="0.3">
      <c r="A74" s="50"/>
      <c r="B74" s="50"/>
      <c r="C74" s="50"/>
      <c r="D74" s="50"/>
      <c r="E74" s="50"/>
      <c r="F74" s="51"/>
      <c r="G74" s="51"/>
      <c r="H74" s="50"/>
      <c r="I74" s="52"/>
      <c r="J74" s="53"/>
      <c r="K74" s="50"/>
      <c r="L74" s="50"/>
      <c r="M74" s="50"/>
      <c r="N74" s="108"/>
      <c r="O74" s="57"/>
      <c r="P74" s="95"/>
      <c r="Q74" s="50"/>
      <c r="R74" s="36"/>
      <c r="S74" s="54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</row>
    <row r="75" spans="1:36" ht="15" customHeight="1" x14ac:dyDescent="0.3">
      <c r="A75" s="50"/>
      <c r="B75" s="50"/>
      <c r="C75" s="50"/>
      <c r="D75" s="50"/>
      <c r="E75" s="50"/>
      <c r="F75" s="51"/>
      <c r="G75" s="51"/>
      <c r="H75" s="50"/>
      <c r="I75" s="52"/>
      <c r="J75" s="53"/>
      <c r="K75" s="50"/>
      <c r="L75" s="50"/>
      <c r="M75" s="50"/>
      <c r="N75" s="108"/>
      <c r="O75" s="52"/>
      <c r="P75" s="95"/>
      <c r="Q75" s="50"/>
      <c r="R75" s="36"/>
      <c r="S75" s="54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</row>
    <row r="80" spans="1:36" ht="15" customHeight="1" x14ac:dyDescent="0.3">
      <c r="A80" s="50"/>
      <c r="B80" s="50"/>
      <c r="C80" s="50"/>
      <c r="D80" s="50"/>
      <c r="E80" s="50"/>
      <c r="F80" s="51"/>
      <c r="G80" s="51"/>
      <c r="H80" s="50"/>
      <c r="I80" s="52"/>
      <c r="J80" s="53"/>
      <c r="K80" s="50"/>
      <c r="L80" s="50"/>
      <c r="M80" s="50"/>
      <c r="N80" s="108"/>
      <c r="O80" s="52"/>
      <c r="P80" s="95"/>
      <c r="Q80" s="50"/>
      <c r="R80" s="36"/>
      <c r="S80" s="54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</row>
    <row r="81" spans="4:36" ht="15" customHeight="1" x14ac:dyDescent="0.3">
      <c r="D81" s="50"/>
      <c r="E81" s="50"/>
      <c r="F81" s="51"/>
      <c r="G81" s="51"/>
      <c r="H81" s="50"/>
      <c r="I81" s="52"/>
      <c r="J81" s="53"/>
      <c r="K81" s="50"/>
      <c r="L81" s="50"/>
      <c r="M81" s="50"/>
      <c r="N81" s="108"/>
      <c r="O81" s="52"/>
      <c r="P81" s="95"/>
      <c r="Q81" s="50"/>
      <c r="R81" s="36"/>
      <c r="S81" s="54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</row>
    <row r="82" spans="4:36" ht="15" customHeight="1" x14ac:dyDescent="0.3">
      <c r="D82" s="50"/>
      <c r="E82" s="50"/>
      <c r="F82" s="51"/>
      <c r="G82" s="51"/>
      <c r="H82" s="50"/>
      <c r="I82" s="52"/>
      <c r="J82" s="53"/>
      <c r="K82" s="50"/>
      <c r="L82" s="50"/>
      <c r="M82" s="50"/>
      <c r="N82" s="108"/>
      <c r="O82" s="52"/>
      <c r="P82" s="95"/>
      <c r="Q82" s="50"/>
      <c r="R82" s="36"/>
      <c r="S82" s="54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</row>
  </sheetData>
  <sortState xmlns:xlrd2="http://schemas.microsoft.com/office/spreadsheetml/2017/richdata2" ref="C2:Q51">
    <sortCondition ref="I2:I51"/>
  </sortState>
  <mergeCells count="2">
    <mergeCell ref="Z1:Z2"/>
    <mergeCell ref="AA1:AA2"/>
  </mergeCells>
  <phoneticPr fontId="6" type="noConversion"/>
  <conditionalFormatting sqref="N1:N6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{61E6A2A0-9B35-42FD-8C22-1594B2767B99}</x14:id>
        </ext>
      </extLst>
    </cfRule>
  </conditionalFormatting>
  <conditionalFormatting sqref="O1:O1048576">
    <cfRule type="iconSet" priority="10">
      <iconSet iconSet="3Arrows">
        <cfvo type="percent" val="0"/>
        <cfvo type="num" val="0"/>
        <cfvo type="num" val="0"/>
      </iconSet>
    </cfRule>
  </conditionalFormatting>
  <conditionalFormatting sqref="O2:P66">
    <cfRule type="colorScale" priority="332">
      <colorScale>
        <cfvo type="min"/>
        <cfvo type="num" val="0"/>
        <cfvo type="max"/>
        <color rgb="FFF8696B"/>
        <color theme="0" tint="-4.9989318521683403E-2"/>
        <color rgb="FF63BE7B"/>
      </colorScale>
    </cfRule>
  </conditionalFormatting>
  <conditionalFormatting sqref="P1:P1048576">
    <cfRule type="iconSet" priority="5">
      <iconSet iconSet="3Symbols">
        <cfvo type="percent" val="0"/>
        <cfvo type="num" val="0"/>
        <cfvo type="formula" val="0.3"/>
      </iconSet>
    </cfRule>
  </conditionalFormatting>
  <conditionalFormatting sqref="W3">
    <cfRule type="colorScale" priority="3">
      <colorScale>
        <cfvo type="min"/>
        <cfvo type="max"/>
        <color rgb="FFFF0000"/>
        <color rgb="FF00B05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E6A2A0-9B35-42FD-8C22-1594B2767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N1:N67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6132-7B0D-44F4-BA28-9429637B6292}">
  <dimension ref="A3:C144"/>
  <sheetViews>
    <sheetView topLeftCell="A4" zoomScale="85" zoomScaleNormal="85" workbookViewId="0">
      <selection activeCell="B4" sqref="B1:B1048576"/>
    </sheetView>
  </sheetViews>
  <sheetFormatPr defaultRowHeight="14.4" x14ac:dyDescent="0.3"/>
  <cols>
    <col min="1" max="1" width="33" bestFit="1" customWidth="1"/>
    <col min="2" max="2" width="16.77734375" bestFit="1" customWidth="1"/>
    <col min="3" max="3" width="21.21875" style="15" bestFit="1" customWidth="1"/>
  </cols>
  <sheetData>
    <row r="3" spans="1:3" x14ac:dyDescent="0.3">
      <c r="A3" s="56" t="s">
        <v>109</v>
      </c>
      <c r="B3" t="s">
        <v>110</v>
      </c>
      <c r="C3" s="120" t="s">
        <v>111</v>
      </c>
    </row>
    <row r="4" spans="1:3" x14ac:dyDescent="0.3">
      <c r="A4" s="61" t="s">
        <v>112</v>
      </c>
      <c r="B4">
        <v>44</v>
      </c>
      <c r="C4" s="120">
        <v>176375.66999999995</v>
      </c>
    </row>
    <row r="5" spans="1:3" x14ac:dyDescent="0.3">
      <c r="A5" s="101">
        <v>0</v>
      </c>
      <c r="B5">
        <v>5</v>
      </c>
      <c r="C5" s="120">
        <v>20762.39</v>
      </c>
    </row>
    <row r="6" spans="1:3" x14ac:dyDescent="0.3">
      <c r="A6" s="101" t="s">
        <v>96</v>
      </c>
      <c r="B6">
        <v>8</v>
      </c>
      <c r="C6" s="120">
        <v>32145.510000000002</v>
      </c>
    </row>
    <row r="7" spans="1:3" x14ac:dyDescent="0.3">
      <c r="A7" s="101" t="s">
        <v>85</v>
      </c>
      <c r="B7">
        <v>4</v>
      </c>
      <c r="C7" s="120">
        <v>13589.06</v>
      </c>
    </row>
    <row r="8" spans="1:3" x14ac:dyDescent="0.3">
      <c r="A8" s="101" t="s">
        <v>89</v>
      </c>
      <c r="B8">
        <v>6</v>
      </c>
      <c r="C8" s="120">
        <v>23624.800000000003</v>
      </c>
    </row>
    <row r="9" spans="1:3" x14ac:dyDescent="0.3">
      <c r="A9" s="101" t="s">
        <v>82</v>
      </c>
      <c r="B9">
        <v>2</v>
      </c>
      <c r="C9" s="120">
        <v>7963.76</v>
      </c>
    </row>
    <row r="10" spans="1:3" x14ac:dyDescent="0.3">
      <c r="A10" s="101" t="s">
        <v>107</v>
      </c>
      <c r="B10">
        <v>11</v>
      </c>
      <c r="C10" s="120">
        <v>42980.979999999996</v>
      </c>
    </row>
    <row r="11" spans="1:3" x14ac:dyDescent="0.3">
      <c r="A11" s="101" t="s">
        <v>63</v>
      </c>
      <c r="B11">
        <v>2</v>
      </c>
      <c r="C11" s="120">
        <v>8906.5499999999993</v>
      </c>
    </row>
    <row r="12" spans="1:3" x14ac:dyDescent="0.3">
      <c r="A12" s="101" t="s">
        <v>88</v>
      </c>
      <c r="B12">
        <v>6</v>
      </c>
      <c r="C12" s="120">
        <v>26402.620000000003</v>
      </c>
    </row>
    <row r="13" spans="1:3" x14ac:dyDescent="0.3">
      <c r="A13" s="61" t="s">
        <v>113</v>
      </c>
      <c r="B13">
        <v>53</v>
      </c>
      <c r="C13" s="120">
        <v>159841.00000000009</v>
      </c>
    </row>
    <row r="14" spans="1:3" x14ac:dyDescent="0.3">
      <c r="A14" s="101" t="s">
        <v>69</v>
      </c>
      <c r="B14">
        <v>3</v>
      </c>
      <c r="C14" s="120">
        <v>7079.8799999999992</v>
      </c>
    </row>
    <row r="15" spans="1:3" x14ac:dyDescent="0.3">
      <c r="A15" s="101" t="s">
        <v>67</v>
      </c>
      <c r="B15">
        <v>2</v>
      </c>
      <c r="C15" s="120">
        <v>4720.25</v>
      </c>
    </row>
    <row r="16" spans="1:3" x14ac:dyDescent="0.3">
      <c r="A16" s="101" t="s">
        <v>63</v>
      </c>
      <c r="B16">
        <v>4</v>
      </c>
      <c r="C16" s="120">
        <v>12600.12</v>
      </c>
    </row>
    <row r="17" spans="1:3" x14ac:dyDescent="0.3">
      <c r="A17" s="101" t="s">
        <v>62</v>
      </c>
      <c r="B17">
        <v>3</v>
      </c>
      <c r="C17" s="120">
        <v>7080.2</v>
      </c>
    </row>
    <row r="18" spans="1:3" x14ac:dyDescent="0.3">
      <c r="A18" s="101" t="s">
        <v>64</v>
      </c>
      <c r="B18">
        <v>2</v>
      </c>
      <c r="C18" s="120">
        <v>6300.0300000000007</v>
      </c>
    </row>
    <row r="19" spans="1:3" x14ac:dyDescent="0.3">
      <c r="A19" s="101" t="s">
        <v>72</v>
      </c>
      <c r="B19">
        <v>2</v>
      </c>
      <c r="C19" s="120">
        <v>6300.42</v>
      </c>
    </row>
    <row r="20" spans="1:3" x14ac:dyDescent="0.3">
      <c r="A20" s="101" t="s">
        <v>73</v>
      </c>
      <c r="B20">
        <v>3</v>
      </c>
      <c r="C20" s="120">
        <v>9449.84</v>
      </c>
    </row>
    <row r="21" spans="1:3" x14ac:dyDescent="0.3">
      <c r="A21" s="101" t="s">
        <v>55</v>
      </c>
      <c r="B21">
        <v>4</v>
      </c>
      <c r="C21" s="120">
        <v>12600.119999999999</v>
      </c>
    </row>
    <row r="22" spans="1:3" x14ac:dyDescent="0.3">
      <c r="A22" s="101" t="s">
        <v>38</v>
      </c>
      <c r="B22">
        <v>1</v>
      </c>
      <c r="C22" s="120">
        <v>3150.11</v>
      </c>
    </row>
    <row r="23" spans="1:3" x14ac:dyDescent="0.3">
      <c r="A23" s="101" t="s">
        <v>70</v>
      </c>
      <c r="B23">
        <v>3</v>
      </c>
      <c r="C23" s="120">
        <v>9450.4</v>
      </c>
    </row>
    <row r="24" spans="1:3" x14ac:dyDescent="0.3">
      <c r="A24" s="101" t="s">
        <v>47</v>
      </c>
      <c r="B24">
        <v>4</v>
      </c>
      <c r="C24" s="120">
        <v>12599.779999999999</v>
      </c>
    </row>
    <row r="25" spans="1:3" x14ac:dyDescent="0.3">
      <c r="A25" s="101" t="s">
        <v>42</v>
      </c>
      <c r="B25">
        <v>4</v>
      </c>
      <c r="C25" s="120">
        <v>12599.970000000001</v>
      </c>
    </row>
    <row r="26" spans="1:3" x14ac:dyDescent="0.3">
      <c r="A26" s="101" t="s">
        <v>74</v>
      </c>
      <c r="B26">
        <v>3</v>
      </c>
      <c r="C26" s="120">
        <v>9450.08</v>
      </c>
    </row>
    <row r="27" spans="1:3" x14ac:dyDescent="0.3">
      <c r="A27" s="101" t="s">
        <v>84</v>
      </c>
      <c r="B27">
        <v>1</v>
      </c>
      <c r="C27" s="120">
        <v>3149.82</v>
      </c>
    </row>
    <row r="28" spans="1:3" x14ac:dyDescent="0.3">
      <c r="A28" s="101" t="s">
        <v>36</v>
      </c>
      <c r="B28">
        <v>2</v>
      </c>
      <c r="C28" s="120">
        <v>6300.07</v>
      </c>
    </row>
    <row r="29" spans="1:3" x14ac:dyDescent="0.3">
      <c r="A29" s="101" t="s">
        <v>53</v>
      </c>
      <c r="B29">
        <v>3</v>
      </c>
      <c r="C29" s="120">
        <v>8660.51</v>
      </c>
    </row>
    <row r="30" spans="1:3" x14ac:dyDescent="0.3">
      <c r="A30" s="101" t="s">
        <v>76</v>
      </c>
      <c r="B30">
        <v>2</v>
      </c>
      <c r="C30" s="120">
        <v>6300</v>
      </c>
    </row>
    <row r="31" spans="1:3" x14ac:dyDescent="0.3">
      <c r="A31" s="101" t="s">
        <v>77</v>
      </c>
      <c r="B31">
        <v>3</v>
      </c>
      <c r="C31" s="120">
        <v>9449.86</v>
      </c>
    </row>
    <row r="32" spans="1:3" x14ac:dyDescent="0.3">
      <c r="A32" s="101" t="s">
        <v>79</v>
      </c>
      <c r="B32">
        <v>3</v>
      </c>
      <c r="C32" s="120">
        <v>9449.7200000000012</v>
      </c>
    </row>
    <row r="33" spans="1:3" x14ac:dyDescent="0.3">
      <c r="A33" s="101" t="s">
        <v>49</v>
      </c>
      <c r="B33">
        <v>1</v>
      </c>
      <c r="C33" s="120">
        <v>3149.82</v>
      </c>
    </row>
    <row r="34" spans="1:3" x14ac:dyDescent="0.3">
      <c r="A34" s="61" t="s">
        <v>114</v>
      </c>
      <c r="B34">
        <v>4</v>
      </c>
      <c r="C34" s="120">
        <v>105350.6</v>
      </c>
    </row>
    <row r="35" spans="1:3" x14ac:dyDescent="0.3">
      <c r="A35" s="101" t="s">
        <v>102</v>
      </c>
      <c r="B35">
        <v>1</v>
      </c>
      <c r="C35" s="120">
        <v>26344.69</v>
      </c>
    </row>
    <row r="36" spans="1:3" x14ac:dyDescent="0.3">
      <c r="A36" s="101" t="s">
        <v>108</v>
      </c>
      <c r="B36">
        <v>1</v>
      </c>
      <c r="C36" s="120">
        <v>26334.45</v>
      </c>
    </row>
    <row r="37" spans="1:3" x14ac:dyDescent="0.3">
      <c r="A37" s="101" t="s">
        <v>104</v>
      </c>
      <c r="B37">
        <v>1</v>
      </c>
      <c r="C37" s="120">
        <v>26326.77</v>
      </c>
    </row>
    <row r="38" spans="1:3" x14ac:dyDescent="0.3">
      <c r="A38" s="101" t="s">
        <v>100</v>
      </c>
      <c r="B38">
        <v>1</v>
      </c>
      <c r="C38" s="120">
        <v>26344.69</v>
      </c>
    </row>
    <row r="39" spans="1:3" x14ac:dyDescent="0.3">
      <c r="A39" s="61" t="s">
        <v>115</v>
      </c>
      <c r="B39">
        <v>10</v>
      </c>
      <c r="C39" s="120">
        <v>103769.32</v>
      </c>
    </row>
    <row r="40" spans="1:3" x14ac:dyDescent="0.3">
      <c r="A40" s="101">
        <v>0</v>
      </c>
      <c r="B40">
        <v>3</v>
      </c>
      <c r="C40" s="120">
        <v>31187.69</v>
      </c>
    </row>
    <row r="41" spans="1:3" x14ac:dyDescent="0.3">
      <c r="A41" s="101" t="s">
        <v>66</v>
      </c>
      <c r="B41">
        <v>1</v>
      </c>
      <c r="C41" s="120">
        <v>10466.42</v>
      </c>
    </row>
    <row r="42" spans="1:3" x14ac:dyDescent="0.3">
      <c r="A42" s="101" t="s">
        <v>90</v>
      </c>
      <c r="B42">
        <v>1</v>
      </c>
      <c r="C42" s="120">
        <v>10311.18</v>
      </c>
    </row>
    <row r="43" spans="1:3" x14ac:dyDescent="0.3">
      <c r="A43" s="101" t="s">
        <v>97</v>
      </c>
      <c r="B43">
        <v>1</v>
      </c>
      <c r="C43" s="120">
        <v>10367.299999999999</v>
      </c>
    </row>
    <row r="44" spans="1:3" x14ac:dyDescent="0.3">
      <c r="A44" s="101" t="s">
        <v>93</v>
      </c>
      <c r="B44">
        <v>1</v>
      </c>
      <c r="C44" s="120">
        <v>10272.700000000001</v>
      </c>
    </row>
    <row r="45" spans="1:3" x14ac:dyDescent="0.3">
      <c r="A45" s="101" t="s">
        <v>100</v>
      </c>
      <c r="B45">
        <v>1</v>
      </c>
      <c r="C45" s="120">
        <v>10394.6</v>
      </c>
    </row>
    <row r="46" spans="1:3" x14ac:dyDescent="0.3">
      <c r="A46" s="101" t="s">
        <v>87</v>
      </c>
      <c r="B46">
        <v>1</v>
      </c>
      <c r="C46" s="120">
        <v>10384.93</v>
      </c>
    </row>
    <row r="47" spans="1:3" x14ac:dyDescent="0.3">
      <c r="A47" s="101" t="s">
        <v>76</v>
      </c>
      <c r="B47">
        <v>1</v>
      </c>
      <c r="C47" s="120">
        <v>10384.5</v>
      </c>
    </row>
    <row r="48" spans="1:3" x14ac:dyDescent="0.3">
      <c r="A48" s="61" t="s">
        <v>116</v>
      </c>
      <c r="B48">
        <v>7</v>
      </c>
      <c r="C48" s="120">
        <v>71993.83</v>
      </c>
    </row>
    <row r="49" spans="1:3" x14ac:dyDescent="0.3">
      <c r="A49" s="101" t="s">
        <v>85</v>
      </c>
      <c r="B49">
        <v>1</v>
      </c>
      <c r="C49" s="120">
        <v>7405.44</v>
      </c>
    </row>
    <row r="50" spans="1:3" x14ac:dyDescent="0.3">
      <c r="A50" s="101" t="s">
        <v>103</v>
      </c>
      <c r="B50">
        <v>1</v>
      </c>
      <c r="C50" s="120">
        <v>10783.36</v>
      </c>
    </row>
    <row r="51" spans="1:3" x14ac:dyDescent="0.3">
      <c r="A51" s="101" t="s">
        <v>86</v>
      </c>
      <c r="B51">
        <v>1</v>
      </c>
      <c r="C51" s="120">
        <v>10808</v>
      </c>
    </row>
    <row r="52" spans="1:3" x14ac:dyDescent="0.3">
      <c r="A52" s="101" t="s">
        <v>105</v>
      </c>
      <c r="B52">
        <v>1</v>
      </c>
      <c r="C52" s="120">
        <v>10765.44</v>
      </c>
    </row>
    <row r="53" spans="1:3" x14ac:dyDescent="0.3">
      <c r="A53" s="101" t="s">
        <v>91</v>
      </c>
      <c r="B53">
        <v>1</v>
      </c>
      <c r="C53" s="120">
        <v>10713.47</v>
      </c>
    </row>
    <row r="54" spans="1:3" x14ac:dyDescent="0.3">
      <c r="A54" s="101" t="s">
        <v>84</v>
      </c>
      <c r="B54">
        <v>1</v>
      </c>
      <c r="C54" s="120">
        <v>10674.5</v>
      </c>
    </row>
    <row r="55" spans="1:3" x14ac:dyDescent="0.3">
      <c r="A55" s="101" t="s">
        <v>94</v>
      </c>
      <c r="B55">
        <v>1</v>
      </c>
      <c r="C55" s="120">
        <v>10843.62</v>
      </c>
    </row>
    <row r="56" spans="1:3" x14ac:dyDescent="0.3">
      <c r="A56" s="61" t="s">
        <v>117</v>
      </c>
      <c r="B56">
        <v>19</v>
      </c>
      <c r="C56" s="120">
        <v>50350</v>
      </c>
    </row>
    <row r="57" spans="1:3" x14ac:dyDescent="0.3">
      <c r="A57" s="101">
        <v>0</v>
      </c>
      <c r="B57">
        <v>7</v>
      </c>
      <c r="C57" s="120">
        <v>18550</v>
      </c>
    </row>
    <row r="58" spans="1:3" x14ac:dyDescent="0.3">
      <c r="A58" s="101" t="s">
        <v>65</v>
      </c>
      <c r="B58">
        <v>4</v>
      </c>
      <c r="C58" s="120">
        <v>10600</v>
      </c>
    </row>
    <row r="59" spans="1:3" x14ac:dyDescent="0.3">
      <c r="A59" s="101" t="s">
        <v>59</v>
      </c>
      <c r="B59">
        <v>4</v>
      </c>
      <c r="C59" s="120">
        <v>10600</v>
      </c>
    </row>
    <row r="60" spans="1:3" x14ac:dyDescent="0.3">
      <c r="A60" s="101" t="s">
        <v>58</v>
      </c>
      <c r="B60">
        <v>4</v>
      </c>
      <c r="C60" s="120">
        <v>10600</v>
      </c>
    </row>
    <row r="61" spans="1:3" x14ac:dyDescent="0.3">
      <c r="A61" s="61" t="s">
        <v>118</v>
      </c>
      <c r="B61">
        <v>5</v>
      </c>
      <c r="C61" s="120">
        <v>41018.189999999995</v>
      </c>
    </row>
    <row r="62" spans="1:3" x14ac:dyDescent="0.3">
      <c r="A62" s="101" t="s">
        <v>66</v>
      </c>
      <c r="B62">
        <v>1</v>
      </c>
      <c r="C62" s="120">
        <v>7986.58</v>
      </c>
    </row>
    <row r="63" spans="1:3" x14ac:dyDescent="0.3">
      <c r="A63" s="101" t="s">
        <v>44</v>
      </c>
      <c r="B63">
        <v>1</v>
      </c>
      <c r="C63" s="120">
        <v>7996.1</v>
      </c>
    </row>
    <row r="64" spans="1:3" x14ac:dyDescent="0.3">
      <c r="A64" s="101" t="s">
        <v>98</v>
      </c>
      <c r="B64">
        <v>1</v>
      </c>
      <c r="C64" s="120">
        <v>8338.1299999999992</v>
      </c>
    </row>
    <row r="65" spans="1:3" x14ac:dyDescent="0.3">
      <c r="A65" s="101" t="s">
        <v>93</v>
      </c>
      <c r="B65">
        <v>1</v>
      </c>
      <c r="C65" s="120">
        <v>8344.56</v>
      </c>
    </row>
    <row r="66" spans="1:3" x14ac:dyDescent="0.3">
      <c r="A66" s="101" t="s">
        <v>76</v>
      </c>
      <c r="B66">
        <v>1</v>
      </c>
      <c r="C66" s="120">
        <v>8352.82</v>
      </c>
    </row>
    <row r="67" spans="1:3" x14ac:dyDescent="0.3">
      <c r="A67" s="61" t="s">
        <v>119</v>
      </c>
      <c r="B67">
        <v>2</v>
      </c>
      <c r="C67" s="120">
        <v>40953.81</v>
      </c>
    </row>
    <row r="68" spans="1:3" x14ac:dyDescent="0.3">
      <c r="A68" s="101" t="s">
        <v>81</v>
      </c>
      <c r="B68">
        <v>1</v>
      </c>
      <c r="C68" s="120">
        <v>19961.53</v>
      </c>
    </row>
    <row r="69" spans="1:3" x14ac:dyDescent="0.3">
      <c r="A69" s="101" t="s">
        <v>83</v>
      </c>
      <c r="B69">
        <v>1</v>
      </c>
      <c r="C69" s="120">
        <v>20992.28</v>
      </c>
    </row>
    <row r="70" spans="1:3" x14ac:dyDescent="0.3">
      <c r="A70" s="61" t="s">
        <v>120</v>
      </c>
      <c r="B70">
        <v>6</v>
      </c>
      <c r="C70" s="120">
        <v>38586.840000000004</v>
      </c>
    </row>
    <row r="71" spans="1:3" x14ac:dyDescent="0.3">
      <c r="A71" s="101" t="s">
        <v>75</v>
      </c>
      <c r="B71">
        <v>1</v>
      </c>
      <c r="C71" s="120">
        <v>6431.9</v>
      </c>
    </row>
    <row r="72" spans="1:3" x14ac:dyDescent="0.3">
      <c r="A72" s="101" t="s">
        <v>86</v>
      </c>
      <c r="B72">
        <v>1</v>
      </c>
      <c r="C72" s="120">
        <v>6432.55</v>
      </c>
    </row>
    <row r="73" spans="1:3" x14ac:dyDescent="0.3">
      <c r="A73" s="101" t="s">
        <v>54</v>
      </c>
      <c r="B73">
        <v>1</v>
      </c>
      <c r="C73" s="120">
        <v>6439.03</v>
      </c>
    </row>
    <row r="74" spans="1:3" x14ac:dyDescent="0.3">
      <c r="A74" s="101" t="s">
        <v>97</v>
      </c>
      <c r="B74">
        <v>1</v>
      </c>
      <c r="C74" s="120">
        <v>6429.95</v>
      </c>
    </row>
    <row r="75" spans="1:3" x14ac:dyDescent="0.3">
      <c r="A75" s="101" t="s">
        <v>94</v>
      </c>
      <c r="B75">
        <v>1</v>
      </c>
      <c r="C75" s="120">
        <v>6424.11</v>
      </c>
    </row>
    <row r="76" spans="1:3" x14ac:dyDescent="0.3">
      <c r="A76" s="101" t="s">
        <v>87</v>
      </c>
      <c r="B76">
        <v>1</v>
      </c>
      <c r="C76" s="120">
        <v>6429.3</v>
      </c>
    </row>
    <row r="77" spans="1:3" x14ac:dyDescent="0.3">
      <c r="A77" s="61" t="s">
        <v>121</v>
      </c>
      <c r="B77">
        <v>3</v>
      </c>
      <c r="C77" s="120">
        <v>36856.050000000003</v>
      </c>
    </row>
    <row r="78" spans="1:3" x14ac:dyDescent="0.3">
      <c r="A78" s="101" t="s">
        <v>98</v>
      </c>
      <c r="B78">
        <v>1</v>
      </c>
      <c r="C78" s="120">
        <v>12298.23</v>
      </c>
    </row>
    <row r="79" spans="1:3" x14ac:dyDescent="0.3">
      <c r="A79" s="101" t="s">
        <v>93</v>
      </c>
      <c r="B79">
        <v>1</v>
      </c>
      <c r="C79" s="120">
        <v>12079.41</v>
      </c>
    </row>
    <row r="80" spans="1:3" x14ac:dyDescent="0.3">
      <c r="A80" s="101" t="s">
        <v>99</v>
      </c>
      <c r="B80">
        <v>1</v>
      </c>
      <c r="C80" s="120">
        <v>12478.41</v>
      </c>
    </row>
    <row r="81" spans="1:3" x14ac:dyDescent="0.3">
      <c r="A81" s="61" t="s">
        <v>122</v>
      </c>
      <c r="B81">
        <v>2</v>
      </c>
      <c r="C81" s="120">
        <v>36703.600000000006</v>
      </c>
    </row>
    <row r="82" spans="1:3" x14ac:dyDescent="0.3">
      <c r="A82" s="101">
        <v>0</v>
      </c>
      <c r="B82">
        <v>2</v>
      </c>
      <c r="C82" s="120">
        <v>36703.600000000006</v>
      </c>
    </row>
    <row r="83" spans="1:3" x14ac:dyDescent="0.3">
      <c r="A83" s="61" t="s">
        <v>123</v>
      </c>
      <c r="B83">
        <v>2</v>
      </c>
      <c r="C83" s="120">
        <v>33765.800000000003</v>
      </c>
    </row>
    <row r="84" spans="1:3" x14ac:dyDescent="0.3">
      <c r="A84" s="101" t="s">
        <v>92</v>
      </c>
      <c r="B84">
        <v>1</v>
      </c>
      <c r="C84" s="120">
        <v>16884.32</v>
      </c>
    </row>
    <row r="85" spans="1:3" x14ac:dyDescent="0.3">
      <c r="A85" s="101" t="s">
        <v>101</v>
      </c>
      <c r="B85">
        <v>1</v>
      </c>
      <c r="C85" s="120">
        <v>16881.48</v>
      </c>
    </row>
    <row r="86" spans="1:3" x14ac:dyDescent="0.3">
      <c r="A86" s="61" t="s">
        <v>124</v>
      </c>
      <c r="B86">
        <v>2</v>
      </c>
      <c r="C86" s="120">
        <v>31836.28</v>
      </c>
    </row>
    <row r="87" spans="1:3" x14ac:dyDescent="0.3">
      <c r="A87" s="101" t="s">
        <v>71</v>
      </c>
      <c r="B87">
        <v>1</v>
      </c>
      <c r="C87" s="120">
        <v>16056.6</v>
      </c>
    </row>
    <row r="88" spans="1:3" x14ac:dyDescent="0.3">
      <c r="A88" s="101" t="s">
        <v>84</v>
      </c>
      <c r="B88">
        <v>1</v>
      </c>
      <c r="C88" s="120">
        <v>15779.68</v>
      </c>
    </row>
    <row r="89" spans="1:3" x14ac:dyDescent="0.3">
      <c r="A89" s="61" t="s">
        <v>125</v>
      </c>
      <c r="B89">
        <v>3</v>
      </c>
      <c r="C89" s="120">
        <v>30014.53</v>
      </c>
    </row>
    <row r="90" spans="1:3" x14ac:dyDescent="0.3">
      <c r="A90" s="101" t="s">
        <v>105</v>
      </c>
      <c r="B90">
        <v>1</v>
      </c>
      <c r="C90" s="120">
        <v>9979.25</v>
      </c>
    </row>
    <row r="91" spans="1:3" x14ac:dyDescent="0.3">
      <c r="A91" s="101" t="s">
        <v>81</v>
      </c>
      <c r="B91">
        <v>1</v>
      </c>
      <c r="C91" s="120">
        <v>10017.64</v>
      </c>
    </row>
    <row r="92" spans="1:3" x14ac:dyDescent="0.3">
      <c r="A92" s="101" t="s">
        <v>83</v>
      </c>
      <c r="B92">
        <v>1</v>
      </c>
      <c r="C92" s="120">
        <v>10017.64</v>
      </c>
    </row>
    <row r="93" spans="1:3" x14ac:dyDescent="0.3">
      <c r="A93" s="61" t="s">
        <v>127</v>
      </c>
      <c r="B93">
        <v>1</v>
      </c>
      <c r="C93" s="120">
        <v>14857.98</v>
      </c>
    </row>
    <row r="94" spans="1:3" x14ac:dyDescent="0.3">
      <c r="A94" s="101" t="s">
        <v>91</v>
      </c>
      <c r="B94">
        <v>1</v>
      </c>
      <c r="C94" s="120">
        <v>14857.98</v>
      </c>
    </row>
    <row r="95" spans="1:3" x14ac:dyDescent="0.3">
      <c r="A95" s="61" t="s">
        <v>128</v>
      </c>
      <c r="B95">
        <v>2</v>
      </c>
      <c r="C95" s="120">
        <v>13036.75</v>
      </c>
    </row>
    <row r="96" spans="1:3" x14ac:dyDescent="0.3">
      <c r="A96" s="101" t="s">
        <v>65</v>
      </c>
      <c r="B96">
        <v>1</v>
      </c>
      <c r="C96" s="120">
        <v>6540.1</v>
      </c>
    </row>
    <row r="97" spans="1:3" x14ac:dyDescent="0.3">
      <c r="A97" s="101" t="s">
        <v>58</v>
      </c>
      <c r="B97">
        <v>1</v>
      </c>
      <c r="C97" s="120">
        <v>6496.65</v>
      </c>
    </row>
    <row r="98" spans="1:3" x14ac:dyDescent="0.3">
      <c r="A98" s="61" t="s">
        <v>129</v>
      </c>
      <c r="B98">
        <v>2</v>
      </c>
      <c r="C98" s="120">
        <v>10579.91</v>
      </c>
    </row>
    <row r="99" spans="1:3" x14ac:dyDescent="0.3">
      <c r="A99" s="101" t="s">
        <v>103</v>
      </c>
      <c r="B99">
        <v>1</v>
      </c>
      <c r="C99" s="120">
        <v>5252.73</v>
      </c>
    </row>
    <row r="100" spans="1:3" x14ac:dyDescent="0.3">
      <c r="A100" s="101" t="s">
        <v>38</v>
      </c>
      <c r="B100">
        <v>1</v>
      </c>
      <c r="C100" s="120">
        <v>5327.18</v>
      </c>
    </row>
    <row r="101" spans="1:3" x14ac:dyDescent="0.3">
      <c r="A101" s="61" t="s">
        <v>130</v>
      </c>
      <c r="B101">
        <v>1</v>
      </c>
      <c r="C101" s="120">
        <v>10246.16</v>
      </c>
    </row>
    <row r="102" spans="1:3" x14ac:dyDescent="0.3">
      <c r="A102" s="101">
        <v>0</v>
      </c>
      <c r="B102">
        <v>1</v>
      </c>
      <c r="C102" s="120">
        <v>10246.16</v>
      </c>
    </row>
    <row r="103" spans="1:3" x14ac:dyDescent="0.3">
      <c r="A103" s="61" t="s">
        <v>131</v>
      </c>
      <c r="B103">
        <v>1</v>
      </c>
      <c r="C103" s="120">
        <v>9142.0499999999993</v>
      </c>
    </row>
    <row r="104" spans="1:3" x14ac:dyDescent="0.3">
      <c r="A104" s="101" t="s">
        <v>82</v>
      </c>
      <c r="B104">
        <v>1</v>
      </c>
      <c r="C104" s="120">
        <v>9142.0499999999993</v>
      </c>
    </row>
    <row r="105" spans="1:3" x14ac:dyDescent="0.3">
      <c r="A105" s="61" t="s">
        <v>132</v>
      </c>
      <c r="B105">
        <v>1</v>
      </c>
      <c r="C105" s="120">
        <v>8500.1</v>
      </c>
    </row>
    <row r="106" spans="1:3" x14ac:dyDescent="0.3">
      <c r="A106" s="101" t="s">
        <v>78</v>
      </c>
      <c r="B106">
        <v>1</v>
      </c>
      <c r="C106" s="120">
        <v>8500.1</v>
      </c>
    </row>
    <row r="107" spans="1:3" x14ac:dyDescent="0.3">
      <c r="A107" s="61" t="s">
        <v>133</v>
      </c>
      <c r="B107">
        <v>1</v>
      </c>
      <c r="C107" s="120">
        <v>8338.09</v>
      </c>
    </row>
    <row r="108" spans="1:3" x14ac:dyDescent="0.3">
      <c r="A108" s="101" t="s">
        <v>56</v>
      </c>
      <c r="B108">
        <v>1</v>
      </c>
      <c r="C108" s="120">
        <v>8338.09</v>
      </c>
    </row>
    <row r="109" spans="1:3" x14ac:dyDescent="0.3">
      <c r="A109" s="61" t="s">
        <v>134</v>
      </c>
      <c r="B109">
        <v>1</v>
      </c>
      <c r="C109" s="120">
        <v>8105.6</v>
      </c>
    </row>
    <row r="110" spans="1:3" x14ac:dyDescent="0.3">
      <c r="A110" s="101" t="s">
        <v>91</v>
      </c>
      <c r="B110">
        <v>1</v>
      </c>
      <c r="C110" s="120">
        <v>8105.6</v>
      </c>
    </row>
    <row r="111" spans="1:3" x14ac:dyDescent="0.3">
      <c r="A111" s="61" t="s">
        <v>135</v>
      </c>
      <c r="B111">
        <v>12</v>
      </c>
      <c r="C111" s="120">
        <v>5822.4500000000007</v>
      </c>
    </row>
    <row r="112" spans="1:3" x14ac:dyDescent="0.3">
      <c r="A112" s="101" t="s">
        <v>66</v>
      </c>
      <c r="B112">
        <v>1</v>
      </c>
      <c r="C112" s="120">
        <v>222.3</v>
      </c>
    </row>
    <row r="113" spans="1:3" x14ac:dyDescent="0.3">
      <c r="A113" s="101" t="s">
        <v>88</v>
      </c>
      <c r="B113">
        <v>1</v>
      </c>
      <c r="C113" s="120">
        <v>215.98</v>
      </c>
    </row>
    <row r="114" spans="1:3" x14ac:dyDescent="0.3">
      <c r="A114" s="101" t="s">
        <v>44</v>
      </c>
      <c r="B114">
        <v>1</v>
      </c>
      <c r="C114" s="120">
        <v>172.54</v>
      </c>
    </row>
    <row r="115" spans="1:3" x14ac:dyDescent="0.3">
      <c r="A115" s="101" t="s">
        <v>72</v>
      </c>
      <c r="B115">
        <v>1</v>
      </c>
      <c r="C115" s="120">
        <v>1270.49</v>
      </c>
    </row>
    <row r="116" spans="1:3" x14ac:dyDescent="0.3">
      <c r="A116" s="101" t="s">
        <v>105</v>
      </c>
      <c r="B116">
        <v>1</v>
      </c>
      <c r="C116" s="120">
        <v>1063.6300000000001</v>
      </c>
    </row>
    <row r="117" spans="1:3" x14ac:dyDescent="0.3">
      <c r="A117" s="101" t="s">
        <v>71</v>
      </c>
      <c r="B117">
        <v>2</v>
      </c>
      <c r="C117" s="120">
        <v>1227.5</v>
      </c>
    </row>
    <row r="118" spans="1:3" x14ac:dyDescent="0.3">
      <c r="A118" s="101" t="s">
        <v>60</v>
      </c>
      <c r="B118">
        <v>1</v>
      </c>
      <c r="C118" s="120">
        <v>194.01</v>
      </c>
    </row>
    <row r="119" spans="1:3" x14ac:dyDescent="0.3">
      <c r="A119" s="101" t="s">
        <v>42</v>
      </c>
      <c r="B119">
        <v>2</v>
      </c>
      <c r="C119" s="120">
        <v>319.58</v>
      </c>
    </row>
    <row r="120" spans="1:3" x14ac:dyDescent="0.3">
      <c r="A120" s="101" t="s">
        <v>92</v>
      </c>
      <c r="B120">
        <v>1</v>
      </c>
      <c r="C120" s="120">
        <v>72.790000000000006</v>
      </c>
    </row>
    <row r="121" spans="1:3" x14ac:dyDescent="0.3">
      <c r="A121" s="101" t="s">
        <v>79</v>
      </c>
      <c r="B121">
        <v>1</v>
      </c>
      <c r="C121" s="120">
        <v>1063.6300000000001</v>
      </c>
    </row>
    <row r="122" spans="1:3" x14ac:dyDescent="0.3">
      <c r="A122" s="61" t="s">
        <v>136</v>
      </c>
      <c r="B122">
        <v>184</v>
      </c>
      <c r="C122" s="120">
        <v>1046044.6100000005</v>
      </c>
    </row>
    <row r="123" spans="1:3" x14ac:dyDescent="0.3">
      <c r="C123"/>
    </row>
    <row r="124" spans="1:3" x14ac:dyDescent="0.3">
      <c r="C124"/>
    </row>
    <row r="125" spans="1:3" x14ac:dyDescent="0.3">
      <c r="C125"/>
    </row>
    <row r="126" spans="1:3" x14ac:dyDescent="0.3">
      <c r="C126"/>
    </row>
    <row r="127" spans="1:3" x14ac:dyDescent="0.3">
      <c r="C127"/>
    </row>
    <row r="128" spans="1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AAF0-971E-42EB-B3F3-F6A6D1332CAC}">
  <dimension ref="A1:AC233"/>
  <sheetViews>
    <sheetView workbookViewId="0">
      <selection activeCell="L237" sqref="L237"/>
    </sheetView>
  </sheetViews>
  <sheetFormatPr defaultColWidth="8.88671875" defaultRowHeight="14.4" x14ac:dyDescent="0.3"/>
  <cols>
    <col min="1" max="1" width="46" style="21" customWidth="1"/>
    <col min="2" max="2" width="44" style="21" customWidth="1"/>
    <col min="3" max="4" width="12" style="21" customWidth="1"/>
    <col min="5" max="5" width="19" style="21" customWidth="1"/>
    <col min="6" max="6" width="29" style="21" customWidth="1"/>
    <col min="7" max="7" width="34" style="21" customWidth="1"/>
    <col min="8" max="8" width="20" style="21" customWidth="1"/>
    <col min="9" max="9" width="12" style="21" customWidth="1"/>
    <col min="10" max="10" width="21" style="21" customWidth="1"/>
    <col min="11" max="11" width="12" style="21" customWidth="1"/>
    <col min="12" max="13" width="50" style="21" customWidth="1"/>
    <col min="14" max="16" width="48" style="21" customWidth="1"/>
    <col min="17" max="17" width="23" style="21" customWidth="1"/>
    <col min="18" max="18" width="13.109375" style="21" customWidth="1"/>
    <col min="19" max="19" width="12" style="21" customWidth="1"/>
    <col min="20" max="20" width="13.44140625" style="20" customWidth="1"/>
    <col min="21" max="23" width="12" style="20" customWidth="1"/>
    <col min="24" max="24" width="15.44140625" style="21" customWidth="1"/>
    <col min="25" max="25" width="14.33203125" style="20" customWidth="1"/>
    <col min="26" max="26" width="31.33203125" style="21" bestFit="1" customWidth="1"/>
    <col min="27" max="27" width="15.33203125" style="21" customWidth="1"/>
    <col min="28" max="28" width="16.33203125" style="21" bestFit="1" customWidth="1"/>
    <col min="29" max="29" width="10.88671875" style="21" bestFit="1" customWidth="1"/>
    <col min="30" max="16384" width="8.88671875" style="21"/>
  </cols>
  <sheetData>
    <row r="1" spans="1:29" x14ac:dyDescent="0.3">
      <c r="A1" s="84" t="s">
        <v>137</v>
      </c>
      <c r="B1" s="85" t="s">
        <v>138</v>
      </c>
      <c r="C1" s="85" t="s">
        <v>139</v>
      </c>
      <c r="D1" s="85" t="s">
        <v>140</v>
      </c>
      <c r="E1" s="85" t="s">
        <v>141</v>
      </c>
      <c r="F1" s="85" t="s">
        <v>142</v>
      </c>
      <c r="G1" s="85" t="s">
        <v>4</v>
      </c>
      <c r="H1" s="85" t="s">
        <v>143</v>
      </c>
      <c r="I1" s="85" t="s">
        <v>144</v>
      </c>
      <c r="J1" s="85" t="s">
        <v>145</v>
      </c>
      <c r="K1" s="85" t="s">
        <v>146</v>
      </c>
      <c r="L1" s="85" t="s">
        <v>147</v>
      </c>
      <c r="M1" s="85" t="s">
        <v>148</v>
      </c>
      <c r="N1" s="85" t="s">
        <v>149</v>
      </c>
      <c r="O1" s="85" t="s">
        <v>150</v>
      </c>
      <c r="P1" s="85" t="s">
        <v>151</v>
      </c>
      <c r="Q1" s="85" t="s">
        <v>152</v>
      </c>
      <c r="R1" s="85" t="s">
        <v>153</v>
      </c>
      <c r="S1" s="85" t="s">
        <v>154</v>
      </c>
      <c r="T1" s="103" t="s">
        <v>155</v>
      </c>
      <c r="U1" s="103" t="s">
        <v>156</v>
      </c>
      <c r="V1" s="103" t="s">
        <v>157</v>
      </c>
      <c r="W1" s="103" t="s">
        <v>158</v>
      </c>
      <c r="X1" s="85" t="s">
        <v>159</v>
      </c>
      <c r="Y1" s="103" t="s">
        <v>160</v>
      </c>
      <c r="Z1" s="85" t="s">
        <v>3</v>
      </c>
      <c r="AA1" s="85" t="s">
        <v>161</v>
      </c>
      <c r="AB1" s="86" t="s">
        <v>162</v>
      </c>
      <c r="AC1" s="85" t="s">
        <v>163</v>
      </c>
    </row>
    <row r="2" spans="1:29" hidden="1" x14ac:dyDescent="0.3">
      <c r="A2" s="112" t="s">
        <v>225</v>
      </c>
      <c r="B2" s="112" t="s">
        <v>226</v>
      </c>
      <c r="C2" s="112" t="s">
        <v>166</v>
      </c>
      <c r="D2" s="112" t="s">
        <v>227</v>
      </c>
      <c r="E2" s="112" t="s">
        <v>228</v>
      </c>
      <c r="F2" s="112" t="s">
        <v>229</v>
      </c>
      <c r="G2" s="112" t="s">
        <v>230</v>
      </c>
      <c r="H2" s="112" t="s">
        <v>231</v>
      </c>
      <c r="I2" s="112" t="s">
        <v>232</v>
      </c>
      <c r="J2" s="112" t="s">
        <v>233</v>
      </c>
      <c r="K2" s="112" t="s">
        <v>172</v>
      </c>
      <c r="L2" s="112" t="s">
        <v>217</v>
      </c>
      <c r="M2" s="112" t="s">
        <v>234</v>
      </c>
      <c r="N2" s="112" t="s">
        <v>234</v>
      </c>
      <c r="O2" s="112" t="s">
        <v>217</v>
      </c>
      <c r="P2" s="112" t="s">
        <v>217</v>
      </c>
      <c r="Q2" s="112" t="s">
        <v>219</v>
      </c>
      <c r="R2" s="112">
        <v>59280</v>
      </c>
      <c r="S2" s="112">
        <v>46760</v>
      </c>
      <c r="T2" s="113">
        <v>9979.25</v>
      </c>
      <c r="U2" s="113">
        <v>8781.74</v>
      </c>
      <c r="V2" s="113">
        <v>0</v>
      </c>
      <c r="W2" s="113">
        <v>1197.51</v>
      </c>
      <c r="X2" s="121">
        <v>0.12</v>
      </c>
      <c r="Y2" s="113">
        <v>9979.25</v>
      </c>
      <c r="Z2" s="87" t="str">
        <f t="shared" ref="Z2:Z33" si="0">IF(H2&amp;J2="","CT-e COMPLEMENTAR",H2&amp;"/"&amp;J2)</f>
        <v>NOVA INDEPENDENCIA/ARAUCARIA</v>
      </c>
      <c r="AA2" s="87">
        <f>IFERROR(_xlfn.XLOOKUP(Z2,Rotas!C:C,Rotas!D:D),"0")</f>
        <v>689</v>
      </c>
      <c r="AB2" s="88" t="str">
        <f t="shared" ref="AB2:AB33" si="1">IF(AC2=0,"SUBCONTRATADO","BWT")</f>
        <v>BWT</v>
      </c>
      <c r="AC2" s="21" t="str" cm="1">
        <f t="array" ref="AC2">IFERROR(
INDEX(
_xlfn._xlws.FILTER(
BWT!$C$1:$C$100,
ISNUMBER(FIND(
SUBSTITUTE(BWT!$C$1:$C$100," ",""),
SUBSTITUTE(SUBSTITUTE(SUBSTITUTE(F2," ",""),"-",""),CHAR(160),"")
))
),
1
),
"")</f>
        <v>SEE0I38</v>
      </c>
    </row>
    <row r="3" spans="1:29" hidden="1" x14ac:dyDescent="0.3">
      <c r="A3" s="112" t="s">
        <v>164</v>
      </c>
      <c r="B3" s="112" t="s">
        <v>165</v>
      </c>
      <c r="C3" s="112" t="s">
        <v>166</v>
      </c>
      <c r="D3" s="112" t="s">
        <v>167</v>
      </c>
      <c r="E3" s="112" t="s">
        <v>168</v>
      </c>
      <c r="F3" s="112" t="s">
        <v>169</v>
      </c>
      <c r="G3" s="112" t="s">
        <v>170</v>
      </c>
      <c r="H3" s="112" t="s">
        <v>171</v>
      </c>
      <c r="I3" s="112" t="s">
        <v>172</v>
      </c>
      <c r="J3" s="112" t="s">
        <v>173</v>
      </c>
      <c r="K3" s="112" t="s">
        <v>174</v>
      </c>
      <c r="L3" s="112" t="s">
        <v>175</v>
      </c>
      <c r="M3" s="112" t="s">
        <v>176</v>
      </c>
      <c r="N3" s="112" t="s">
        <v>176</v>
      </c>
      <c r="O3" s="112" t="s">
        <v>175</v>
      </c>
      <c r="P3" s="112" t="s">
        <v>175</v>
      </c>
      <c r="Q3" s="112" t="s">
        <v>177</v>
      </c>
      <c r="R3" s="112">
        <v>47654</v>
      </c>
      <c r="S3" s="112">
        <v>73774</v>
      </c>
      <c r="T3" s="113">
        <v>10674.5</v>
      </c>
      <c r="U3" s="113">
        <v>9106.06</v>
      </c>
      <c r="V3" s="113">
        <v>326.7</v>
      </c>
      <c r="W3" s="113">
        <v>1241.74</v>
      </c>
      <c r="X3" s="121">
        <v>0.12</v>
      </c>
      <c r="Y3" s="113">
        <v>10347.799999999999</v>
      </c>
      <c r="Z3" s="87" t="str">
        <f t="shared" si="0"/>
        <v>PARANAGUA/IJUI</v>
      </c>
      <c r="AA3" s="87">
        <f>IFERROR(_xlfn.XLOOKUP(Z3,Rotas!C:C,Rotas!D:D),"0")</f>
        <v>800</v>
      </c>
      <c r="AB3" s="88" t="str">
        <f t="shared" si="1"/>
        <v>BWT</v>
      </c>
      <c r="AC3" s="21" t="str" cm="1">
        <f t="array" ref="AC3">IFERROR(
INDEX(
_xlfn._xlws.FILTER(
BWT!$C$1:$C$100,
ISNUMBER(FIND(
SUBSTITUTE(BWT!$C$1:$C$100," ",""),
SUBSTITUTE(SUBSTITUTE(SUBSTITUTE(F3," ",""),"-",""),CHAR(160),"")
))
),
1
),
"")</f>
        <v>SEY8B43</v>
      </c>
    </row>
    <row r="4" spans="1:29" hidden="1" x14ac:dyDescent="0.3">
      <c r="A4" s="112" t="s">
        <v>178</v>
      </c>
      <c r="B4" s="112" t="s">
        <v>165</v>
      </c>
      <c r="C4" s="112" t="s">
        <v>166</v>
      </c>
      <c r="D4" s="112" t="s">
        <v>179</v>
      </c>
      <c r="E4" s="112" t="s">
        <v>180</v>
      </c>
      <c r="F4" s="112" t="s">
        <v>181</v>
      </c>
      <c r="G4" s="112" t="s">
        <v>182</v>
      </c>
      <c r="H4" s="112" t="s">
        <v>171</v>
      </c>
      <c r="I4" s="112" t="s">
        <v>172</v>
      </c>
      <c r="J4" s="112" t="s">
        <v>183</v>
      </c>
      <c r="K4" s="112" t="s">
        <v>172</v>
      </c>
      <c r="L4" s="112" t="s">
        <v>184</v>
      </c>
      <c r="M4" s="112" t="s">
        <v>176</v>
      </c>
      <c r="N4" s="112" t="s">
        <v>176</v>
      </c>
      <c r="O4" s="112" t="s">
        <v>184</v>
      </c>
      <c r="P4" s="112" t="s">
        <v>184</v>
      </c>
      <c r="Q4" s="112" t="s">
        <v>177</v>
      </c>
      <c r="R4" s="112">
        <v>37800</v>
      </c>
      <c r="S4" s="112">
        <v>58260</v>
      </c>
      <c r="T4" s="113">
        <v>3882.06</v>
      </c>
      <c r="U4" s="113">
        <v>3882.06</v>
      </c>
      <c r="V4" s="113">
        <v>0</v>
      </c>
      <c r="W4" s="113">
        <v>0</v>
      </c>
      <c r="X4" s="112"/>
      <c r="Y4" s="113"/>
      <c r="Z4" s="87" t="str">
        <f t="shared" si="0"/>
        <v>PARANAGUA/LAPA</v>
      </c>
      <c r="AA4" s="87">
        <f>IFERROR(_xlfn.XLOOKUP(Z4,Rotas!C:C,Rotas!D:D),"0")</f>
        <v>153</v>
      </c>
      <c r="AB4" s="88" t="str">
        <f t="shared" si="1"/>
        <v>BWT</v>
      </c>
      <c r="AC4" s="21" t="str" cm="1">
        <f t="array" ref="AC4">IFERROR(
INDEX(
_xlfn._xlws.FILTER(
BWT!$C$1:$C$100,
ISNUMBER(FIND(
SUBSTITUTE(BWT!$C$1:$C$100," ",""),
SUBSTITUTE(SUBSTITUTE(SUBSTITUTE(F4," ",""),"-",""),CHAR(160),"")
))
),
1
),
"")</f>
        <v>BDF9C15</v>
      </c>
    </row>
    <row r="5" spans="1:29" hidden="1" x14ac:dyDescent="0.3">
      <c r="A5" s="112" t="s">
        <v>185</v>
      </c>
      <c r="B5" s="112" t="s">
        <v>165</v>
      </c>
      <c r="C5" s="112" t="s">
        <v>166</v>
      </c>
      <c r="D5" s="112" t="s">
        <v>186</v>
      </c>
      <c r="E5" s="112" t="s">
        <v>187</v>
      </c>
      <c r="F5" s="112" t="s">
        <v>188</v>
      </c>
      <c r="G5" s="112" t="s">
        <v>189</v>
      </c>
      <c r="H5" s="112" t="s">
        <v>171</v>
      </c>
      <c r="I5" s="112" t="s">
        <v>172</v>
      </c>
      <c r="J5" s="112" t="s">
        <v>183</v>
      </c>
      <c r="K5" s="112" t="s">
        <v>172</v>
      </c>
      <c r="L5" s="112" t="s">
        <v>184</v>
      </c>
      <c r="M5" s="112" t="s">
        <v>176</v>
      </c>
      <c r="N5" s="112" t="s">
        <v>176</v>
      </c>
      <c r="O5" s="112" t="s">
        <v>184</v>
      </c>
      <c r="P5" s="112" t="s">
        <v>184</v>
      </c>
      <c r="Q5" s="112" t="s">
        <v>177</v>
      </c>
      <c r="R5" s="112">
        <v>48480</v>
      </c>
      <c r="S5" s="112">
        <v>73760</v>
      </c>
      <c r="T5" s="113">
        <v>4443.1899999999996</v>
      </c>
      <c r="U5" s="113">
        <v>4443.1899999999996</v>
      </c>
      <c r="V5" s="113">
        <v>0</v>
      </c>
      <c r="W5" s="113">
        <v>0</v>
      </c>
      <c r="X5" s="112"/>
      <c r="Y5" s="113"/>
      <c r="Z5" s="87" t="str">
        <f t="shared" si="0"/>
        <v>PARANAGUA/LAPA</v>
      </c>
      <c r="AA5" s="87">
        <f>IFERROR(_xlfn.XLOOKUP(Z5,Rotas!C:C,Rotas!D:D),"0")</f>
        <v>153</v>
      </c>
      <c r="AB5" s="88" t="str">
        <f t="shared" si="1"/>
        <v>BWT</v>
      </c>
      <c r="AC5" s="21" t="str" cm="1">
        <f t="array" ref="AC5">IFERROR(
INDEX(
_xlfn._xlws.FILTER(
BWT!$C$1:$C$100,
ISNUMBER(FIND(
SUBSTITUTE(BWT!$C$1:$C$100," ",""),
SUBSTITUTE(SUBSTITUTE(SUBSTITUTE(F5," ",""),"-",""),CHAR(160),"")
))
),
1
),
"")</f>
        <v>BDQ4E29</v>
      </c>
    </row>
    <row r="6" spans="1:29" hidden="1" x14ac:dyDescent="0.3">
      <c r="A6" s="112" t="s">
        <v>210</v>
      </c>
      <c r="B6" s="112" t="s">
        <v>165</v>
      </c>
      <c r="C6" s="112" t="s">
        <v>166</v>
      </c>
      <c r="D6" s="112" t="s">
        <v>211</v>
      </c>
      <c r="E6" s="112" t="s">
        <v>212</v>
      </c>
      <c r="F6" s="112" t="s">
        <v>213</v>
      </c>
      <c r="G6" s="112" t="s">
        <v>214</v>
      </c>
      <c r="H6" s="112" t="s">
        <v>215</v>
      </c>
      <c r="I6" s="112" t="s">
        <v>172</v>
      </c>
      <c r="J6" s="112" t="s">
        <v>216</v>
      </c>
      <c r="K6" s="112" t="s">
        <v>174</v>
      </c>
      <c r="L6" s="112" t="s">
        <v>217</v>
      </c>
      <c r="M6" s="112" t="s">
        <v>218</v>
      </c>
      <c r="N6" s="112" t="s">
        <v>218</v>
      </c>
      <c r="O6" s="112" t="s">
        <v>217</v>
      </c>
      <c r="P6" s="112" t="s">
        <v>217</v>
      </c>
      <c r="Q6" s="112" t="s">
        <v>219</v>
      </c>
      <c r="R6" s="112">
        <v>59468</v>
      </c>
      <c r="S6" s="112">
        <v>47120</v>
      </c>
      <c r="T6" s="113">
        <v>16881.48</v>
      </c>
      <c r="U6" s="113">
        <v>14855.7</v>
      </c>
      <c r="V6" s="113">
        <v>0</v>
      </c>
      <c r="W6" s="113">
        <v>2025.78</v>
      </c>
      <c r="X6" s="121">
        <v>0.12</v>
      </c>
      <c r="Y6" s="113">
        <v>16881.48</v>
      </c>
      <c r="Z6" s="87" t="str">
        <f t="shared" si="0"/>
        <v>COLORADO/CANOAS</v>
      </c>
      <c r="AA6" s="87">
        <f>IFERROR(_xlfn.XLOOKUP(Z6,Rotas!C:C,Rotas!D:D),"0")</f>
        <v>1123</v>
      </c>
      <c r="AB6" s="88" t="str">
        <f t="shared" si="1"/>
        <v>BWT</v>
      </c>
      <c r="AC6" s="21" t="str" cm="1">
        <f t="array" ref="AC6">IFERROR(
INDEX(
_xlfn._xlws.FILTER(
BWT!$C$1:$C$100,
ISNUMBER(FIND(
SUBSTITUTE(BWT!$C$1:$C$100," ",""),
SUBSTITUTE(SUBSTITUTE(SUBSTITUTE(F6," ",""),"-",""),CHAR(160),"")
))
),
1
),
"")</f>
        <v>TAW8B89</v>
      </c>
    </row>
    <row r="7" spans="1:29" hidden="1" x14ac:dyDescent="0.3">
      <c r="A7" s="112" t="s">
        <v>220</v>
      </c>
      <c r="B7" s="112" t="s">
        <v>165</v>
      </c>
      <c r="C7" s="112" t="s">
        <v>166</v>
      </c>
      <c r="D7" s="112" t="s">
        <v>221</v>
      </c>
      <c r="E7" s="112" t="s">
        <v>222</v>
      </c>
      <c r="F7" s="112" t="s">
        <v>223</v>
      </c>
      <c r="G7" s="112" t="s">
        <v>224</v>
      </c>
      <c r="H7" s="112" t="s">
        <v>215</v>
      </c>
      <c r="I7" s="112" t="s">
        <v>172</v>
      </c>
      <c r="J7" s="112" t="s">
        <v>216</v>
      </c>
      <c r="K7" s="112" t="s">
        <v>174</v>
      </c>
      <c r="L7" s="112" t="s">
        <v>217</v>
      </c>
      <c r="M7" s="112" t="s">
        <v>218</v>
      </c>
      <c r="N7" s="112" t="s">
        <v>218</v>
      </c>
      <c r="O7" s="112" t="s">
        <v>217</v>
      </c>
      <c r="P7" s="112" t="s">
        <v>217</v>
      </c>
      <c r="Q7" s="112" t="s">
        <v>219</v>
      </c>
      <c r="R7" s="112">
        <v>59478</v>
      </c>
      <c r="S7" s="112">
        <v>47000</v>
      </c>
      <c r="T7" s="113">
        <v>16884.32</v>
      </c>
      <c r="U7" s="113">
        <v>14858.2</v>
      </c>
      <c r="V7" s="113">
        <v>0</v>
      </c>
      <c r="W7" s="113">
        <v>2026.12</v>
      </c>
      <c r="X7" s="121">
        <v>0.12</v>
      </c>
      <c r="Y7" s="113">
        <v>16884.32</v>
      </c>
      <c r="Z7" s="87" t="str">
        <f t="shared" si="0"/>
        <v>COLORADO/CANOAS</v>
      </c>
      <c r="AA7" s="87">
        <f>IFERROR(_xlfn.XLOOKUP(Z7,Rotas!C:C,Rotas!D:D),"0")</f>
        <v>1123</v>
      </c>
      <c r="AB7" s="88" t="str">
        <f t="shared" si="1"/>
        <v>BWT</v>
      </c>
      <c r="AC7" s="21" t="str" cm="1">
        <f t="array" ref="AC7">IFERROR(
INDEX(
_xlfn._xlws.FILTER(
BWT!$C$1:$C$100,
ISNUMBER(FIND(
SUBSTITUTE(BWT!$C$1:$C$100," ",""),
SUBSTITUTE(SUBSTITUTE(SUBSTITUTE(F7," ",""),"-",""),CHAR(160),"")
))
),
1
),
"")</f>
        <v>SFA7G28</v>
      </c>
    </row>
    <row r="8" spans="1:29" hidden="1" x14ac:dyDescent="0.3">
      <c r="A8" s="112" t="s">
        <v>190</v>
      </c>
      <c r="B8" s="112" t="s">
        <v>165</v>
      </c>
      <c r="C8" s="112" t="s">
        <v>166</v>
      </c>
      <c r="D8" s="112" t="s">
        <v>191</v>
      </c>
      <c r="E8" s="112" t="s">
        <v>192</v>
      </c>
      <c r="F8" s="112" t="s">
        <v>193</v>
      </c>
      <c r="G8" s="112" t="s">
        <v>194</v>
      </c>
      <c r="H8" s="112" t="s">
        <v>171</v>
      </c>
      <c r="I8" s="112" t="s">
        <v>172</v>
      </c>
      <c r="J8" s="112" t="s">
        <v>183</v>
      </c>
      <c r="K8" s="112" t="s">
        <v>172</v>
      </c>
      <c r="L8" s="112" t="s">
        <v>184</v>
      </c>
      <c r="M8" s="112" t="s">
        <v>176</v>
      </c>
      <c r="N8" s="112" t="s">
        <v>176</v>
      </c>
      <c r="O8" s="112" t="s">
        <v>184</v>
      </c>
      <c r="P8" s="112" t="s">
        <v>184</v>
      </c>
      <c r="Q8" s="112" t="s">
        <v>177</v>
      </c>
      <c r="R8" s="112">
        <v>47500</v>
      </c>
      <c r="S8" s="112">
        <v>73680</v>
      </c>
      <c r="T8" s="113">
        <v>4353.38</v>
      </c>
      <c r="U8" s="113">
        <v>4353.38</v>
      </c>
      <c r="V8" s="113">
        <v>0</v>
      </c>
      <c r="W8" s="113">
        <v>0</v>
      </c>
      <c r="X8" s="112"/>
      <c r="Y8" s="113"/>
      <c r="Z8" s="87" t="str">
        <f t="shared" si="0"/>
        <v>PARANAGUA/LAPA</v>
      </c>
      <c r="AA8" s="87">
        <f>IFERROR(_xlfn.XLOOKUP(Z8,Rotas!C:C,Rotas!D:D),"0")</f>
        <v>153</v>
      </c>
      <c r="AB8" s="88" t="str">
        <f t="shared" si="1"/>
        <v>SUBCONTRATADO</v>
      </c>
      <c r="AC8" s="21" cm="1">
        <f t="array" ref="AC8">IFERROR(
INDEX(
_xlfn._xlws.FILTER(
BWT!$C$1:$C$100,
ISNUMBER(FIND(
SUBSTITUTE(BWT!$C$1:$C$100," ",""),
SUBSTITUTE(SUBSTITUTE(SUBSTITUTE(F8," ",""),"-",""),CHAR(160),"")
))
),
1
),
"")</f>
        <v>0</v>
      </c>
    </row>
    <row r="9" spans="1:29" hidden="1" x14ac:dyDescent="0.3">
      <c r="A9" s="112" t="s">
        <v>195</v>
      </c>
      <c r="B9" s="112" t="s">
        <v>165</v>
      </c>
      <c r="C9" s="112" t="s">
        <v>166</v>
      </c>
      <c r="D9" s="112" t="s">
        <v>196</v>
      </c>
      <c r="E9" s="112" t="s">
        <v>197</v>
      </c>
      <c r="F9" s="112" t="s">
        <v>198</v>
      </c>
      <c r="G9" s="112" t="s">
        <v>199</v>
      </c>
      <c r="H9" s="112" t="s">
        <v>171</v>
      </c>
      <c r="I9" s="112" t="s">
        <v>172</v>
      </c>
      <c r="J9" s="112" t="s">
        <v>183</v>
      </c>
      <c r="K9" s="112" t="s">
        <v>172</v>
      </c>
      <c r="L9" s="112" t="s">
        <v>184</v>
      </c>
      <c r="M9" s="112" t="s">
        <v>176</v>
      </c>
      <c r="N9" s="112" t="s">
        <v>176</v>
      </c>
      <c r="O9" s="112" t="s">
        <v>184</v>
      </c>
      <c r="P9" s="112" t="s">
        <v>184</v>
      </c>
      <c r="Q9" s="112" t="s">
        <v>177</v>
      </c>
      <c r="R9" s="112">
        <v>48560</v>
      </c>
      <c r="S9" s="112">
        <v>73900</v>
      </c>
      <c r="T9" s="113">
        <v>4450.5200000000004</v>
      </c>
      <c r="U9" s="113">
        <v>4450.5200000000004</v>
      </c>
      <c r="V9" s="113">
        <v>0</v>
      </c>
      <c r="W9" s="113">
        <v>0</v>
      </c>
      <c r="X9" s="112"/>
      <c r="Y9" s="113"/>
      <c r="Z9" s="87" t="str">
        <f t="shared" si="0"/>
        <v>PARANAGUA/LAPA</v>
      </c>
      <c r="AA9" s="87">
        <f>IFERROR(_xlfn.XLOOKUP(Z9,Rotas!C:C,Rotas!D:D),"0")</f>
        <v>153</v>
      </c>
      <c r="AB9" s="88" t="str">
        <f t="shared" si="1"/>
        <v>SUBCONTRATADO</v>
      </c>
      <c r="AC9" s="21" cm="1">
        <f t="array" ref="AC9">IFERROR(
INDEX(
_xlfn._xlws.FILTER(
BWT!$C$1:$C$100,
ISNUMBER(FIND(
SUBSTITUTE(BWT!$C$1:$C$100," ",""),
SUBSTITUTE(SUBSTITUTE(SUBSTITUTE(F9," ",""),"-",""),CHAR(160),"")
))
),
1
),
"")</f>
        <v>0</v>
      </c>
    </row>
    <row r="10" spans="1:29" hidden="1" x14ac:dyDescent="0.3">
      <c r="A10" s="112" t="s">
        <v>200</v>
      </c>
      <c r="B10" s="112" t="s">
        <v>165</v>
      </c>
      <c r="C10" s="112" t="s">
        <v>166</v>
      </c>
      <c r="D10" s="112" t="s">
        <v>201</v>
      </c>
      <c r="E10" s="112" t="s">
        <v>202</v>
      </c>
      <c r="F10" s="112" t="s">
        <v>203</v>
      </c>
      <c r="G10" s="112" t="s">
        <v>204</v>
      </c>
      <c r="H10" s="112" t="s">
        <v>171</v>
      </c>
      <c r="I10" s="112" t="s">
        <v>172</v>
      </c>
      <c r="J10" s="112" t="s">
        <v>183</v>
      </c>
      <c r="K10" s="112" t="s">
        <v>172</v>
      </c>
      <c r="L10" s="112" t="s">
        <v>184</v>
      </c>
      <c r="M10" s="112" t="s">
        <v>176</v>
      </c>
      <c r="N10" s="112" t="s">
        <v>176</v>
      </c>
      <c r="O10" s="112" t="s">
        <v>184</v>
      </c>
      <c r="P10" s="112" t="s">
        <v>184</v>
      </c>
      <c r="Q10" s="112" t="s">
        <v>177</v>
      </c>
      <c r="R10" s="112">
        <v>38720</v>
      </c>
      <c r="S10" s="112">
        <v>58360</v>
      </c>
      <c r="T10" s="113">
        <v>3976.54</v>
      </c>
      <c r="U10" s="113">
        <v>3976.54</v>
      </c>
      <c r="V10" s="113">
        <v>0</v>
      </c>
      <c r="W10" s="113">
        <v>0</v>
      </c>
      <c r="X10" s="112"/>
      <c r="Y10" s="113"/>
      <c r="Z10" s="87" t="str">
        <f t="shared" si="0"/>
        <v>PARANAGUA/LAPA</v>
      </c>
      <c r="AA10" s="87">
        <f>IFERROR(_xlfn.XLOOKUP(Z10,Rotas!C:C,Rotas!D:D),"0")</f>
        <v>153</v>
      </c>
      <c r="AB10" s="88" t="str">
        <f t="shared" si="1"/>
        <v>BWT</v>
      </c>
      <c r="AC10" s="21" t="str" cm="1">
        <f t="array" ref="AC10">IFERROR(
INDEX(
_xlfn._xlws.FILTER(
BWT!$C$1:$C$100,
ISNUMBER(FIND(
SUBSTITUTE(BWT!$C$1:$C$100," ",""),
SUBSTITUTE(SUBSTITUTE(SUBSTITUTE(F10," ",""),"-",""),CHAR(160),"")
))
),
1
),
"")</f>
        <v>BBM8G62</v>
      </c>
    </row>
    <row r="11" spans="1:29" hidden="1" x14ac:dyDescent="0.3">
      <c r="A11" s="112" t="s">
        <v>205</v>
      </c>
      <c r="B11" s="112" t="s">
        <v>165</v>
      </c>
      <c r="C11" s="112" t="s">
        <v>166</v>
      </c>
      <c r="D11" s="112" t="s">
        <v>206</v>
      </c>
      <c r="E11" s="112" t="s">
        <v>207</v>
      </c>
      <c r="F11" s="112" t="s">
        <v>208</v>
      </c>
      <c r="G11" s="112" t="s">
        <v>209</v>
      </c>
      <c r="H11" s="112" t="s">
        <v>171</v>
      </c>
      <c r="I11" s="112" t="s">
        <v>172</v>
      </c>
      <c r="J11" s="112" t="s">
        <v>183</v>
      </c>
      <c r="K11" s="112" t="s">
        <v>172</v>
      </c>
      <c r="L11" s="112" t="s">
        <v>184</v>
      </c>
      <c r="M11" s="112" t="s">
        <v>176</v>
      </c>
      <c r="N11" s="112" t="s">
        <v>176</v>
      </c>
      <c r="O11" s="112" t="s">
        <v>184</v>
      </c>
      <c r="P11" s="112" t="s">
        <v>184</v>
      </c>
      <c r="Q11" s="112" t="s">
        <v>177</v>
      </c>
      <c r="R11" s="112">
        <v>39020</v>
      </c>
      <c r="S11" s="112">
        <v>58300</v>
      </c>
      <c r="T11" s="113">
        <v>4007.35</v>
      </c>
      <c r="U11" s="113">
        <v>4007.35</v>
      </c>
      <c r="V11" s="113">
        <v>0</v>
      </c>
      <c r="W11" s="113">
        <v>0</v>
      </c>
      <c r="X11" s="112"/>
      <c r="Y11" s="113"/>
      <c r="Z11" s="87" t="str">
        <f t="shared" si="0"/>
        <v>PARANAGUA/LAPA</v>
      </c>
      <c r="AA11" s="87">
        <f>IFERROR(_xlfn.XLOOKUP(Z11,Rotas!C:C,Rotas!D:D),"0")</f>
        <v>153</v>
      </c>
      <c r="AB11" s="88" t="str">
        <f t="shared" si="1"/>
        <v>BWT</v>
      </c>
      <c r="AC11" s="21" t="str" cm="1">
        <f t="array" ref="AC11">IFERROR(
INDEX(
_xlfn._xlws.FILTER(
BWT!$C$1:$C$100,
ISNUMBER(FIND(
SUBSTITUTE(BWT!$C$1:$C$100," ",""),
SUBSTITUTE(SUBSTITUTE(SUBSTITUTE(F11," ",""),"-",""),CHAR(160),"")
))
),
1
),
"")</f>
        <v>AWZ2403</v>
      </c>
    </row>
    <row r="12" spans="1:29" hidden="1" x14ac:dyDescent="0.3">
      <c r="A12" s="112" t="s">
        <v>235</v>
      </c>
      <c r="B12" s="112" t="s">
        <v>236</v>
      </c>
      <c r="C12" s="112" t="s">
        <v>166</v>
      </c>
      <c r="D12" s="112" t="s">
        <v>237</v>
      </c>
      <c r="E12" s="112" t="s">
        <v>238</v>
      </c>
      <c r="F12" s="112" t="s">
        <v>239</v>
      </c>
      <c r="G12" s="112" t="s">
        <v>240</v>
      </c>
      <c r="H12" s="112" t="s">
        <v>241</v>
      </c>
      <c r="I12" s="112" t="s">
        <v>174</v>
      </c>
      <c r="J12" s="112" t="s">
        <v>242</v>
      </c>
      <c r="K12" s="112" t="s">
        <v>243</v>
      </c>
      <c r="L12" s="112" t="s">
        <v>244</v>
      </c>
      <c r="M12" s="112" t="s">
        <v>245</v>
      </c>
      <c r="N12" s="112" t="s">
        <v>245</v>
      </c>
      <c r="O12" s="112" t="s">
        <v>244</v>
      </c>
      <c r="P12" s="112" t="s">
        <v>244</v>
      </c>
      <c r="Q12" s="112" t="s">
        <v>246</v>
      </c>
      <c r="R12" s="112">
        <v>59610</v>
      </c>
      <c r="S12" s="112">
        <v>52060</v>
      </c>
      <c r="T12" s="113">
        <v>8105.6</v>
      </c>
      <c r="U12" s="113">
        <v>7132.93</v>
      </c>
      <c r="V12" s="113">
        <v>0</v>
      </c>
      <c r="W12" s="113">
        <v>972.67</v>
      </c>
      <c r="X12" s="121">
        <v>0.12</v>
      </c>
      <c r="Y12" s="113">
        <v>8105.6</v>
      </c>
      <c r="Z12" s="87" t="str">
        <f t="shared" si="0"/>
        <v>CAMARGO/ITAJAI</v>
      </c>
      <c r="AA12" s="87">
        <f>IFERROR(_xlfn.XLOOKUP(Z12,Rotas!C:C,Rotas!D:D),"0")</f>
        <v>560</v>
      </c>
      <c r="AB12" s="88" t="str">
        <f t="shared" si="1"/>
        <v>BWT</v>
      </c>
      <c r="AC12" s="21" t="str" cm="1">
        <f t="array" ref="AC12">IFERROR(
INDEX(
_xlfn._xlws.FILTER(
BWT!$C$1:$C$100,
ISNUMBER(FIND(
SUBSTITUTE(BWT!$C$1:$C$100," ",""),
SUBSTITUTE(SUBSTITUTE(SUBSTITUTE(F12," ",""),"-",""),CHAR(160),"")
))
),
1
),
"")</f>
        <v>SEE3G48</v>
      </c>
    </row>
    <row r="13" spans="1:29" hidden="1" x14ac:dyDescent="0.3">
      <c r="A13" s="112" t="s">
        <v>275</v>
      </c>
      <c r="B13" s="112" t="s">
        <v>226</v>
      </c>
      <c r="C13" s="112" t="s">
        <v>248</v>
      </c>
      <c r="D13" s="112" t="s">
        <v>276</v>
      </c>
      <c r="E13" s="112" t="s">
        <v>277</v>
      </c>
      <c r="F13" s="112" t="s">
        <v>278</v>
      </c>
      <c r="G13" s="112" t="s">
        <v>279</v>
      </c>
      <c r="H13" s="112" t="s">
        <v>280</v>
      </c>
      <c r="I13" s="112" t="s">
        <v>232</v>
      </c>
      <c r="J13" s="112" t="s">
        <v>281</v>
      </c>
      <c r="K13" s="112" t="s">
        <v>232</v>
      </c>
      <c r="L13" s="112" t="s">
        <v>254</v>
      </c>
      <c r="M13" s="112" t="s">
        <v>282</v>
      </c>
      <c r="N13" s="112" t="s">
        <v>254</v>
      </c>
      <c r="O13" s="112" t="s">
        <v>217</v>
      </c>
      <c r="P13" s="112" t="s">
        <v>217</v>
      </c>
      <c r="Q13" s="112" t="s">
        <v>283</v>
      </c>
      <c r="R13" s="112">
        <v>63536</v>
      </c>
      <c r="S13" s="112">
        <v>44469</v>
      </c>
      <c r="T13" s="113">
        <v>3150.09</v>
      </c>
      <c r="U13" s="113">
        <v>2772.08</v>
      </c>
      <c r="V13" s="113">
        <v>0</v>
      </c>
      <c r="W13" s="113">
        <v>378.01</v>
      </c>
      <c r="X13" s="121">
        <v>0.12</v>
      </c>
      <c r="Y13" s="113">
        <v>3150.09</v>
      </c>
      <c r="Z13" s="87" t="str">
        <f t="shared" si="0"/>
        <v>SANTOS/PAULINIA</v>
      </c>
      <c r="AA13" s="87">
        <f>IFERROR(_xlfn.XLOOKUP(Z13,Rotas!C:C,Rotas!D:D),"0")</f>
        <v>215</v>
      </c>
      <c r="AB13" s="88" t="str">
        <f t="shared" si="1"/>
        <v>BWT</v>
      </c>
      <c r="AC13" s="21" t="str" cm="1">
        <f t="array" ref="AC13">IFERROR(
INDEX(
_xlfn._xlws.FILTER(
BWT!$C$1:$C$100,
ISNUMBER(FIND(
SUBSTITUTE(BWT!$C$1:$C$100," ",""),
SUBSTITUTE(SUBSTITUTE(SUBSTITUTE(F13," ",""),"-",""),CHAR(160),"")
))
),
1
),
"")</f>
        <v>TAW8C01</v>
      </c>
    </row>
    <row r="14" spans="1:29" hidden="1" x14ac:dyDescent="0.3">
      <c r="A14" s="112" t="s">
        <v>284</v>
      </c>
      <c r="B14" s="112" t="s">
        <v>226</v>
      </c>
      <c r="C14" s="112" t="s">
        <v>248</v>
      </c>
      <c r="D14" s="112" t="s">
        <v>285</v>
      </c>
      <c r="E14" s="112" t="s">
        <v>286</v>
      </c>
      <c r="F14" s="112" t="s">
        <v>287</v>
      </c>
      <c r="G14" s="112" t="s">
        <v>288</v>
      </c>
      <c r="H14" s="112" t="s">
        <v>280</v>
      </c>
      <c r="I14" s="112" t="s">
        <v>232</v>
      </c>
      <c r="J14" s="112" t="s">
        <v>281</v>
      </c>
      <c r="K14" s="112" t="s">
        <v>232</v>
      </c>
      <c r="L14" s="112" t="s">
        <v>254</v>
      </c>
      <c r="M14" s="112" t="s">
        <v>254</v>
      </c>
      <c r="N14" s="112" t="s">
        <v>282</v>
      </c>
      <c r="O14" s="112" t="s">
        <v>217</v>
      </c>
      <c r="P14" s="112" t="s">
        <v>217</v>
      </c>
      <c r="Q14" s="112" t="s">
        <v>283</v>
      </c>
      <c r="R14" s="112">
        <v>63294</v>
      </c>
      <c r="S14" s="112">
        <v>44299</v>
      </c>
      <c r="T14" s="113">
        <v>3150.32</v>
      </c>
      <c r="U14" s="113">
        <v>2772.28</v>
      </c>
      <c r="V14" s="113">
        <v>0</v>
      </c>
      <c r="W14" s="113">
        <v>378.04</v>
      </c>
      <c r="X14" s="121">
        <v>0.12</v>
      </c>
      <c r="Y14" s="113">
        <v>3150.32</v>
      </c>
      <c r="Z14" s="87" t="str">
        <f t="shared" si="0"/>
        <v>SANTOS/PAULINIA</v>
      </c>
      <c r="AA14" s="87">
        <f>IFERROR(_xlfn.XLOOKUP(Z14,Rotas!C:C,Rotas!D:D),"0")</f>
        <v>215</v>
      </c>
      <c r="AB14" s="88" t="str">
        <f t="shared" si="1"/>
        <v>BWT</v>
      </c>
      <c r="AC14" s="21" t="str" cm="1">
        <f t="array" ref="AC14">IFERROR(
INDEX(
_xlfn._xlws.FILTER(
BWT!$C$1:$C$100,
ISNUMBER(FIND(
SUBSTITUTE(BWT!$C$1:$C$100," ",""),
SUBSTITUTE(SUBSTITUTE(SUBSTITUTE(F14," ",""),"-",""),CHAR(160),"")
))
),
1
),
"")</f>
        <v>SEE2J92</v>
      </c>
    </row>
    <row r="15" spans="1:29" hidden="1" x14ac:dyDescent="0.3">
      <c r="A15" s="112" t="s">
        <v>289</v>
      </c>
      <c r="B15" s="112" t="s">
        <v>226</v>
      </c>
      <c r="C15" s="112" t="s">
        <v>248</v>
      </c>
      <c r="D15" s="112" t="s">
        <v>290</v>
      </c>
      <c r="E15" s="112" t="s">
        <v>291</v>
      </c>
      <c r="F15" s="112" t="s">
        <v>292</v>
      </c>
      <c r="G15" s="112" t="s">
        <v>293</v>
      </c>
      <c r="H15" s="112" t="s">
        <v>280</v>
      </c>
      <c r="I15" s="112" t="s">
        <v>232</v>
      </c>
      <c r="J15" s="112" t="s">
        <v>281</v>
      </c>
      <c r="K15" s="112" t="s">
        <v>232</v>
      </c>
      <c r="L15" s="112" t="s">
        <v>254</v>
      </c>
      <c r="M15" s="112" t="s">
        <v>254</v>
      </c>
      <c r="N15" s="112" t="s">
        <v>282</v>
      </c>
      <c r="O15" s="112" t="s">
        <v>217</v>
      </c>
      <c r="P15" s="112" t="s">
        <v>217</v>
      </c>
      <c r="Q15" s="112" t="s">
        <v>283</v>
      </c>
      <c r="R15" s="112">
        <v>63081</v>
      </c>
      <c r="S15" s="112">
        <v>44150</v>
      </c>
      <c r="T15" s="113">
        <v>3149.75</v>
      </c>
      <c r="U15" s="113">
        <v>2771.78</v>
      </c>
      <c r="V15" s="113">
        <v>0</v>
      </c>
      <c r="W15" s="113">
        <v>377.97</v>
      </c>
      <c r="X15" s="121">
        <v>0.12</v>
      </c>
      <c r="Y15" s="113">
        <v>3149.75</v>
      </c>
      <c r="Z15" s="87" t="str">
        <f t="shared" si="0"/>
        <v>SANTOS/PAULINIA</v>
      </c>
      <c r="AA15" s="87">
        <f>IFERROR(_xlfn.XLOOKUP(Z15,Rotas!C:C,Rotas!D:D),"0")</f>
        <v>215</v>
      </c>
      <c r="AB15" s="88" t="str">
        <f t="shared" si="1"/>
        <v>BWT</v>
      </c>
      <c r="AC15" s="21" t="str" cm="1">
        <f t="array" ref="AC15">IFERROR(
INDEX(
_xlfn._xlws.FILTER(
BWT!$C$1:$C$100,
ISNUMBER(FIND(
SUBSTITUTE(BWT!$C$1:$C$100," ",""),
SUBSTITUTE(SUBSTITUTE(SUBSTITUTE(F15," ",""),"-",""),CHAR(160),"")
))
),
1
),
"")</f>
        <v>TAW8C09</v>
      </c>
    </row>
    <row r="16" spans="1:29" hidden="1" x14ac:dyDescent="0.3">
      <c r="A16" s="112" t="s">
        <v>294</v>
      </c>
      <c r="B16" s="112" t="s">
        <v>226</v>
      </c>
      <c r="C16" s="112" t="s">
        <v>248</v>
      </c>
      <c r="D16" s="112" t="s">
        <v>295</v>
      </c>
      <c r="E16" s="112" t="s">
        <v>296</v>
      </c>
      <c r="F16" s="112" t="s">
        <v>297</v>
      </c>
      <c r="G16" s="112" t="s">
        <v>298</v>
      </c>
      <c r="H16" s="112" t="s">
        <v>280</v>
      </c>
      <c r="I16" s="112" t="s">
        <v>232</v>
      </c>
      <c r="J16" s="112" t="s">
        <v>281</v>
      </c>
      <c r="K16" s="112" t="s">
        <v>232</v>
      </c>
      <c r="L16" s="112" t="s">
        <v>254</v>
      </c>
      <c r="M16" s="112" t="s">
        <v>282</v>
      </c>
      <c r="N16" s="112" t="s">
        <v>254</v>
      </c>
      <c r="O16" s="112" t="s">
        <v>217</v>
      </c>
      <c r="P16" s="112" t="s">
        <v>217</v>
      </c>
      <c r="Q16" s="112" t="s">
        <v>283</v>
      </c>
      <c r="R16" s="112">
        <v>63102</v>
      </c>
      <c r="S16" s="112">
        <v>44165</v>
      </c>
      <c r="T16" s="113">
        <v>3150.08</v>
      </c>
      <c r="U16" s="113">
        <v>2772.07</v>
      </c>
      <c r="V16" s="113">
        <v>0</v>
      </c>
      <c r="W16" s="113">
        <v>378.01</v>
      </c>
      <c r="X16" s="121">
        <v>0.12</v>
      </c>
      <c r="Y16" s="113">
        <v>3150.08</v>
      </c>
      <c r="Z16" s="87" t="str">
        <f t="shared" si="0"/>
        <v>SANTOS/PAULINIA</v>
      </c>
      <c r="AA16" s="87">
        <f>IFERROR(_xlfn.XLOOKUP(Z16,Rotas!C:C,Rotas!D:D),"0")</f>
        <v>215</v>
      </c>
      <c r="AB16" s="88" t="str">
        <f t="shared" si="1"/>
        <v>BWT</v>
      </c>
      <c r="AC16" s="21" t="str" cm="1">
        <f t="array" ref="AC16">IFERROR(
INDEX(
_xlfn._xlws.FILTER(
BWT!$C$1:$C$100,
ISNUMBER(FIND(
SUBSTITUTE(BWT!$C$1:$C$100," ",""),
SUBSTITUTE(SUBSTITUTE(SUBSTITUTE(F16," ",""),"-",""),CHAR(160),"")
))
),
1
),
"")</f>
        <v>SEX2C73</v>
      </c>
    </row>
    <row r="17" spans="1:29" hidden="1" x14ac:dyDescent="0.3">
      <c r="A17" s="112" t="s">
        <v>299</v>
      </c>
      <c r="B17" s="112" t="s">
        <v>226</v>
      </c>
      <c r="C17" s="112" t="s">
        <v>248</v>
      </c>
      <c r="D17" s="112" t="s">
        <v>300</v>
      </c>
      <c r="E17" s="112" t="s">
        <v>301</v>
      </c>
      <c r="F17" s="112" t="s">
        <v>302</v>
      </c>
      <c r="G17" s="112" t="s">
        <v>303</v>
      </c>
      <c r="H17" s="112" t="s">
        <v>280</v>
      </c>
      <c r="I17" s="112" t="s">
        <v>232</v>
      </c>
      <c r="J17" s="112" t="s">
        <v>281</v>
      </c>
      <c r="K17" s="112" t="s">
        <v>232</v>
      </c>
      <c r="L17" s="112" t="s">
        <v>254</v>
      </c>
      <c r="M17" s="112" t="s">
        <v>282</v>
      </c>
      <c r="N17" s="112" t="s">
        <v>254</v>
      </c>
      <c r="O17" s="112" t="s">
        <v>217</v>
      </c>
      <c r="P17" s="112" t="s">
        <v>217</v>
      </c>
      <c r="Q17" s="112" t="s">
        <v>283</v>
      </c>
      <c r="R17" s="112">
        <v>63218</v>
      </c>
      <c r="S17" s="112">
        <v>45700</v>
      </c>
      <c r="T17" s="113">
        <v>3150.12</v>
      </c>
      <c r="U17" s="113">
        <v>2772.11</v>
      </c>
      <c r="V17" s="113">
        <v>0</v>
      </c>
      <c r="W17" s="113">
        <v>378.01</v>
      </c>
      <c r="X17" s="121">
        <v>0.12</v>
      </c>
      <c r="Y17" s="113">
        <v>3150.12</v>
      </c>
      <c r="Z17" s="87" t="str">
        <f t="shared" si="0"/>
        <v>SANTOS/PAULINIA</v>
      </c>
      <c r="AA17" s="87">
        <f>IFERROR(_xlfn.XLOOKUP(Z17,Rotas!C:C,Rotas!D:D),"0")</f>
        <v>215</v>
      </c>
      <c r="AB17" s="88" t="str">
        <f t="shared" si="1"/>
        <v>BWT</v>
      </c>
      <c r="AC17" s="21" t="str" cm="1">
        <f t="array" ref="AC17">IFERROR(
INDEX(
_xlfn._xlws.FILTER(
BWT!$C$1:$C$100,
ISNUMBER(FIND(
SUBSTITUTE(BWT!$C$1:$C$100," ",""),
SUBSTITUTE(SUBSTITUTE(SUBSTITUTE(F17," ",""),"-",""),CHAR(160),"")
))
),
1
),
"")</f>
        <v>SEE0I13</v>
      </c>
    </row>
    <row r="18" spans="1:29" hidden="1" x14ac:dyDescent="0.3">
      <c r="A18" s="112" t="s">
        <v>304</v>
      </c>
      <c r="B18" s="112" t="s">
        <v>226</v>
      </c>
      <c r="C18" s="112" t="s">
        <v>248</v>
      </c>
      <c r="D18" s="112" t="s">
        <v>305</v>
      </c>
      <c r="E18" s="112" t="s">
        <v>306</v>
      </c>
      <c r="F18" s="112" t="s">
        <v>307</v>
      </c>
      <c r="G18" s="112" t="s">
        <v>308</v>
      </c>
      <c r="H18" s="112" t="s">
        <v>280</v>
      </c>
      <c r="I18" s="112" t="s">
        <v>232</v>
      </c>
      <c r="J18" s="112" t="s">
        <v>281</v>
      </c>
      <c r="K18" s="112" t="s">
        <v>232</v>
      </c>
      <c r="L18" s="112" t="s">
        <v>254</v>
      </c>
      <c r="M18" s="112" t="s">
        <v>282</v>
      </c>
      <c r="N18" s="112" t="s">
        <v>254</v>
      </c>
      <c r="O18" s="112" t="s">
        <v>217</v>
      </c>
      <c r="P18" s="112" t="s">
        <v>217</v>
      </c>
      <c r="Q18" s="112" t="s">
        <v>283</v>
      </c>
      <c r="R18" s="112">
        <v>49711</v>
      </c>
      <c r="S18" s="112">
        <v>35911</v>
      </c>
      <c r="T18" s="113">
        <v>2360.15</v>
      </c>
      <c r="U18" s="113">
        <v>2076.9299999999998</v>
      </c>
      <c r="V18" s="113">
        <v>0</v>
      </c>
      <c r="W18" s="113">
        <v>283.22000000000003</v>
      </c>
      <c r="X18" s="121">
        <v>0.12</v>
      </c>
      <c r="Y18" s="113">
        <v>2360.15</v>
      </c>
      <c r="Z18" s="87" t="str">
        <f t="shared" si="0"/>
        <v>SANTOS/PAULINIA</v>
      </c>
      <c r="AA18" s="87">
        <f>IFERROR(_xlfn.XLOOKUP(Z18,Rotas!C:C,Rotas!D:D),"0")</f>
        <v>215</v>
      </c>
      <c r="AB18" s="88" t="str">
        <f t="shared" si="1"/>
        <v>BWT</v>
      </c>
      <c r="AC18" s="21" t="str" cm="1">
        <f t="array" ref="AC18">IFERROR(
INDEX(
_xlfn._xlws.FILTER(
BWT!$C$1:$C$100,
ISNUMBER(FIND(
SUBSTITUTE(BWT!$C$1:$C$100," ",""),
SUBSTITUTE(SUBSTITUTE(SUBSTITUTE(F18," ",""),"-",""),CHAR(160),"")
))
),
1
),
"")</f>
        <v>BDQ4E30</v>
      </c>
    </row>
    <row r="19" spans="1:29" hidden="1" x14ac:dyDescent="0.3">
      <c r="A19" s="112" t="s">
        <v>309</v>
      </c>
      <c r="B19" s="112" t="s">
        <v>226</v>
      </c>
      <c r="C19" s="112" t="s">
        <v>248</v>
      </c>
      <c r="D19" s="112" t="s">
        <v>310</v>
      </c>
      <c r="E19" s="112" t="s">
        <v>311</v>
      </c>
      <c r="F19" s="112" t="s">
        <v>312</v>
      </c>
      <c r="G19" s="112" t="s">
        <v>313</v>
      </c>
      <c r="H19" s="112" t="s">
        <v>280</v>
      </c>
      <c r="I19" s="112" t="s">
        <v>232</v>
      </c>
      <c r="J19" s="112" t="s">
        <v>281</v>
      </c>
      <c r="K19" s="112" t="s">
        <v>232</v>
      </c>
      <c r="L19" s="112" t="s">
        <v>254</v>
      </c>
      <c r="M19" s="112" t="s">
        <v>282</v>
      </c>
      <c r="N19" s="112" t="s">
        <v>254</v>
      </c>
      <c r="O19" s="112" t="s">
        <v>217</v>
      </c>
      <c r="P19" s="112" t="s">
        <v>217</v>
      </c>
      <c r="Q19" s="112" t="s">
        <v>283</v>
      </c>
      <c r="R19" s="112">
        <v>42448</v>
      </c>
      <c r="S19" s="112">
        <v>30686</v>
      </c>
      <c r="T19" s="113">
        <v>2360.1999999999998</v>
      </c>
      <c r="U19" s="113">
        <v>2076.98</v>
      </c>
      <c r="V19" s="113">
        <v>0</v>
      </c>
      <c r="W19" s="113">
        <v>283.22000000000003</v>
      </c>
      <c r="X19" s="121">
        <v>0.12</v>
      </c>
      <c r="Y19" s="113">
        <v>2360.1999999999998</v>
      </c>
      <c r="Z19" s="87" t="str">
        <f t="shared" si="0"/>
        <v>SANTOS/PAULINIA</v>
      </c>
      <c r="AA19" s="87">
        <f>IFERROR(_xlfn.XLOOKUP(Z19,Rotas!C:C,Rotas!D:D),"0")</f>
        <v>215</v>
      </c>
      <c r="AB19" s="88" t="str">
        <f t="shared" si="1"/>
        <v>BWT</v>
      </c>
      <c r="AC19" s="21" t="str" cm="1">
        <f t="array" ref="AC19">IFERROR(
INDEX(
_xlfn._xlws.FILTER(
BWT!$C$1:$C$100,
ISNUMBER(FIND(
SUBSTITUTE(BWT!$C$1:$C$100," ",""),
SUBSTITUTE(SUBSTITUTE(SUBSTITUTE(F19," ",""),"-",""),CHAR(160),"")
))
),
1
),
"")</f>
        <v>BBM5I45</v>
      </c>
    </row>
    <row r="20" spans="1:29" hidden="1" x14ac:dyDescent="0.3">
      <c r="A20" s="112" t="s">
        <v>314</v>
      </c>
      <c r="B20" s="112" t="s">
        <v>226</v>
      </c>
      <c r="C20" s="112" t="s">
        <v>248</v>
      </c>
      <c r="D20" s="112" t="s">
        <v>315</v>
      </c>
      <c r="E20" s="112" t="s">
        <v>316</v>
      </c>
      <c r="F20" s="112" t="s">
        <v>317</v>
      </c>
      <c r="G20" s="112" t="s">
        <v>318</v>
      </c>
      <c r="H20" s="112" t="s">
        <v>280</v>
      </c>
      <c r="I20" s="112" t="s">
        <v>232</v>
      </c>
      <c r="J20" s="112" t="s">
        <v>281</v>
      </c>
      <c r="K20" s="112" t="s">
        <v>232</v>
      </c>
      <c r="L20" s="112" t="s">
        <v>254</v>
      </c>
      <c r="M20" s="112" t="s">
        <v>282</v>
      </c>
      <c r="N20" s="112" t="s">
        <v>254</v>
      </c>
      <c r="O20" s="112" t="s">
        <v>217</v>
      </c>
      <c r="P20" s="112" t="s">
        <v>217</v>
      </c>
      <c r="Q20" s="112" t="s">
        <v>283</v>
      </c>
      <c r="R20" s="112">
        <v>49574</v>
      </c>
      <c r="S20" s="112">
        <v>35812</v>
      </c>
      <c r="T20" s="113">
        <v>2359.83</v>
      </c>
      <c r="U20" s="113">
        <v>2076.65</v>
      </c>
      <c r="V20" s="113">
        <v>0</v>
      </c>
      <c r="W20" s="113">
        <v>283.18</v>
      </c>
      <c r="X20" s="121">
        <v>0.12</v>
      </c>
      <c r="Y20" s="113">
        <v>2359.83</v>
      </c>
      <c r="Z20" s="87" t="str">
        <f t="shared" si="0"/>
        <v>SANTOS/PAULINIA</v>
      </c>
      <c r="AA20" s="87">
        <f>IFERROR(_xlfn.XLOOKUP(Z20,Rotas!C:C,Rotas!D:D),"0")</f>
        <v>215</v>
      </c>
      <c r="AB20" s="88" t="str">
        <f t="shared" si="1"/>
        <v>BWT</v>
      </c>
      <c r="AC20" s="21" t="str" cm="1">
        <f t="array" ref="AC20">IFERROR(
INDEX(
_xlfn._xlws.FILTER(
BWT!$C$1:$C$100,
ISNUMBER(FIND(
SUBSTITUTE(BWT!$C$1:$C$100," ",""),
SUBSTITUTE(SUBSTITUTE(SUBSTITUTE(F20," ",""),"-",""),CHAR(160),"")
))
),
1
),
"")</f>
        <v>BAX9A94</v>
      </c>
    </row>
    <row r="21" spans="1:29" hidden="1" x14ac:dyDescent="0.3">
      <c r="A21" s="112" t="s">
        <v>256</v>
      </c>
      <c r="B21" s="112" t="s">
        <v>165</v>
      </c>
      <c r="C21" s="112" t="s">
        <v>248</v>
      </c>
      <c r="D21" s="112" t="s">
        <v>257</v>
      </c>
      <c r="E21" s="112" t="s">
        <v>258</v>
      </c>
      <c r="F21" s="112" t="s">
        <v>181</v>
      </c>
      <c r="G21" s="112" t="s">
        <v>182</v>
      </c>
      <c r="H21" s="112" t="s">
        <v>171</v>
      </c>
      <c r="I21" s="112" t="s">
        <v>172</v>
      </c>
      <c r="J21" s="112" t="s">
        <v>183</v>
      </c>
      <c r="K21" s="112" t="s">
        <v>172</v>
      </c>
      <c r="L21" s="112" t="s">
        <v>184</v>
      </c>
      <c r="M21" s="112" t="s">
        <v>176</v>
      </c>
      <c r="N21" s="112" t="s">
        <v>176</v>
      </c>
      <c r="O21" s="112" t="s">
        <v>184</v>
      </c>
      <c r="P21" s="112" t="s">
        <v>184</v>
      </c>
      <c r="Q21" s="112" t="s">
        <v>177</v>
      </c>
      <c r="R21" s="112">
        <v>37820</v>
      </c>
      <c r="S21" s="112">
        <v>58140</v>
      </c>
      <c r="T21" s="113">
        <v>3884.11</v>
      </c>
      <c r="U21" s="113">
        <v>3884.11</v>
      </c>
      <c r="V21" s="113">
        <v>0</v>
      </c>
      <c r="W21" s="113">
        <v>0</v>
      </c>
      <c r="X21" s="112"/>
      <c r="Y21" s="113"/>
      <c r="Z21" s="87" t="str">
        <f t="shared" si="0"/>
        <v>PARANAGUA/LAPA</v>
      </c>
      <c r="AA21" s="87">
        <f>IFERROR(_xlfn.XLOOKUP(Z21,Rotas!C:C,Rotas!D:D),"0")</f>
        <v>153</v>
      </c>
      <c r="AB21" s="88" t="str">
        <f t="shared" si="1"/>
        <v>BWT</v>
      </c>
      <c r="AC21" s="21" t="str" cm="1">
        <f t="array" ref="AC21">IFERROR(
INDEX(
_xlfn._xlws.FILTER(
BWT!$C$1:$C$100,
ISNUMBER(FIND(
SUBSTITUTE(BWT!$C$1:$C$100," ",""),
SUBSTITUTE(SUBSTITUTE(SUBSTITUTE(F21," ",""),"-",""),CHAR(160),"")
))
),
1
),
"")</f>
        <v>BDF9C15</v>
      </c>
    </row>
    <row r="22" spans="1:29" hidden="1" x14ac:dyDescent="0.3">
      <c r="A22" s="112" t="s">
        <v>1743</v>
      </c>
      <c r="B22" s="112" t="s">
        <v>165</v>
      </c>
      <c r="C22" s="112" t="s">
        <v>248</v>
      </c>
      <c r="D22" s="112" t="s">
        <v>1744</v>
      </c>
      <c r="E22" s="112" t="s">
        <v>1745</v>
      </c>
      <c r="F22" s="112" t="s">
        <v>88</v>
      </c>
      <c r="G22" s="112" t="s">
        <v>1746</v>
      </c>
      <c r="H22" s="112" t="s">
        <v>171</v>
      </c>
      <c r="I22" s="112" t="s">
        <v>172</v>
      </c>
      <c r="J22" s="112" t="s">
        <v>233</v>
      </c>
      <c r="K22" s="112" t="s">
        <v>172</v>
      </c>
      <c r="L22" s="112" t="s">
        <v>217</v>
      </c>
      <c r="M22" s="112" t="s">
        <v>176</v>
      </c>
      <c r="N22" s="112" t="s">
        <v>176</v>
      </c>
      <c r="O22" s="112" t="s">
        <v>217</v>
      </c>
      <c r="P22" s="112" t="s">
        <v>217</v>
      </c>
      <c r="Q22" s="112" t="s">
        <v>498</v>
      </c>
      <c r="R22" s="112">
        <v>58548</v>
      </c>
      <c r="S22" s="112">
        <v>73920</v>
      </c>
      <c r="T22" s="113">
        <v>355.91</v>
      </c>
      <c r="U22" s="113">
        <v>355.91</v>
      </c>
      <c r="V22" s="113">
        <v>0</v>
      </c>
      <c r="W22" s="113">
        <v>0</v>
      </c>
      <c r="X22" s="112"/>
      <c r="Y22" s="113"/>
      <c r="Z22" s="87" t="str">
        <f t="shared" si="0"/>
        <v>PARANAGUA/ARAUCARIA</v>
      </c>
      <c r="AA22" s="87">
        <f>IFERROR(_xlfn.XLOOKUP(Z22,Rotas!C:C,Rotas!D:D),"0")</f>
        <v>109</v>
      </c>
      <c r="AB22" s="88" t="str">
        <f t="shared" si="1"/>
        <v>BWT</v>
      </c>
      <c r="AC22" s="21" t="str" cm="1">
        <f t="array" ref="AC22">IFERROR(
INDEX(
_xlfn._xlws.FILTER(
BWT!$C$1:$C$100,
ISNUMBER(FIND(
SUBSTITUTE(BWT!$C$1:$C$100," ",""),
SUBSTITUTE(SUBSTITUTE(SUBSTITUTE(F22," ",""),"-",""),CHAR(160),"")
))
),
1
),
"")</f>
        <v>BDQ4E39</v>
      </c>
    </row>
    <row r="23" spans="1:29" hidden="1" x14ac:dyDescent="0.3">
      <c r="A23" s="112" t="s">
        <v>259</v>
      </c>
      <c r="B23" s="112" t="s">
        <v>165</v>
      </c>
      <c r="C23" s="112" t="s">
        <v>248</v>
      </c>
      <c r="D23" s="112" t="s">
        <v>260</v>
      </c>
      <c r="E23" s="112" t="s">
        <v>261</v>
      </c>
      <c r="F23" s="112" t="s">
        <v>203</v>
      </c>
      <c r="G23" s="112" t="s">
        <v>204</v>
      </c>
      <c r="H23" s="112" t="s">
        <v>171</v>
      </c>
      <c r="I23" s="112" t="s">
        <v>172</v>
      </c>
      <c r="J23" s="112" t="s">
        <v>183</v>
      </c>
      <c r="K23" s="112" t="s">
        <v>172</v>
      </c>
      <c r="L23" s="112" t="s">
        <v>184</v>
      </c>
      <c r="M23" s="112" t="s">
        <v>176</v>
      </c>
      <c r="N23" s="112" t="s">
        <v>176</v>
      </c>
      <c r="O23" s="112" t="s">
        <v>184</v>
      </c>
      <c r="P23" s="112" t="s">
        <v>184</v>
      </c>
      <c r="Q23" s="112" t="s">
        <v>177</v>
      </c>
      <c r="R23" s="112">
        <v>38824</v>
      </c>
      <c r="S23" s="112">
        <v>58304</v>
      </c>
      <c r="T23" s="113">
        <v>3987.22</v>
      </c>
      <c r="U23" s="113">
        <v>3987.22</v>
      </c>
      <c r="V23" s="113">
        <v>0</v>
      </c>
      <c r="W23" s="113">
        <v>0</v>
      </c>
      <c r="X23" s="112"/>
      <c r="Y23" s="113"/>
      <c r="Z23" s="87" t="str">
        <f t="shared" si="0"/>
        <v>PARANAGUA/LAPA</v>
      </c>
      <c r="AA23" s="87">
        <f>IFERROR(_xlfn.XLOOKUP(Z23,Rotas!C:C,Rotas!D:D),"0")</f>
        <v>153</v>
      </c>
      <c r="AB23" s="88" t="str">
        <f t="shared" si="1"/>
        <v>BWT</v>
      </c>
      <c r="AC23" s="21" t="str" cm="1">
        <f t="array" ref="AC23">IFERROR(
INDEX(
_xlfn._xlws.FILTER(
BWT!$C$1:$C$100,
ISNUMBER(FIND(
SUBSTITUTE(BWT!$C$1:$C$100," ",""),
SUBSTITUTE(SUBSTITUTE(SUBSTITUTE(F23," ",""),"-",""),CHAR(160),"")
))
),
1
),
"")</f>
        <v>BBM8G62</v>
      </c>
    </row>
    <row r="24" spans="1:29" hidden="1" x14ac:dyDescent="0.3">
      <c r="A24" s="112" t="s">
        <v>262</v>
      </c>
      <c r="B24" s="112" t="s">
        <v>165</v>
      </c>
      <c r="C24" s="112" t="s">
        <v>248</v>
      </c>
      <c r="D24" s="112" t="s">
        <v>263</v>
      </c>
      <c r="E24" s="112" t="s">
        <v>264</v>
      </c>
      <c r="F24" s="112" t="s">
        <v>208</v>
      </c>
      <c r="G24" s="112" t="s">
        <v>209</v>
      </c>
      <c r="H24" s="112" t="s">
        <v>171</v>
      </c>
      <c r="I24" s="112" t="s">
        <v>172</v>
      </c>
      <c r="J24" s="112" t="s">
        <v>183</v>
      </c>
      <c r="K24" s="112" t="s">
        <v>172</v>
      </c>
      <c r="L24" s="112" t="s">
        <v>184</v>
      </c>
      <c r="M24" s="112" t="s">
        <v>176</v>
      </c>
      <c r="N24" s="112" t="s">
        <v>176</v>
      </c>
      <c r="O24" s="112" t="s">
        <v>184</v>
      </c>
      <c r="P24" s="112" t="s">
        <v>184</v>
      </c>
      <c r="Q24" s="112" t="s">
        <v>177</v>
      </c>
      <c r="R24" s="112">
        <v>39040</v>
      </c>
      <c r="S24" s="112">
        <v>58200</v>
      </c>
      <c r="T24" s="113">
        <v>4009.41</v>
      </c>
      <c r="U24" s="113">
        <v>4009.41</v>
      </c>
      <c r="V24" s="113">
        <v>0</v>
      </c>
      <c r="W24" s="113">
        <v>0</v>
      </c>
      <c r="X24" s="112"/>
      <c r="Y24" s="113"/>
      <c r="Z24" s="87" t="str">
        <f t="shared" si="0"/>
        <v>PARANAGUA/LAPA</v>
      </c>
      <c r="AA24" s="87">
        <f>IFERROR(_xlfn.XLOOKUP(Z24,Rotas!C:C,Rotas!D:D),"0")</f>
        <v>153</v>
      </c>
      <c r="AB24" s="88" t="str">
        <f t="shared" si="1"/>
        <v>BWT</v>
      </c>
      <c r="AC24" s="21" t="str" cm="1">
        <f t="array" ref="AC24">IFERROR(
INDEX(
_xlfn._xlws.FILTER(
BWT!$C$1:$C$100,
ISNUMBER(FIND(
SUBSTITUTE(BWT!$C$1:$C$100," ",""),
SUBSTITUTE(SUBSTITUTE(SUBSTITUTE(F24," ",""),"-",""),CHAR(160),"")
))
),
1
),
"")</f>
        <v>AWZ2403</v>
      </c>
    </row>
    <row r="25" spans="1:29" hidden="1" x14ac:dyDescent="0.3">
      <c r="A25" s="112" t="s">
        <v>265</v>
      </c>
      <c r="B25" s="112" t="s">
        <v>165</v>
      </c>
      <c r="C25" s="112" t="s">
        <v>248</v>
      </c>
      <c r="D25" s="112" t="s">
        <v>266</v>
      </c>
      <c r="E25" s="112" t="s">
        <v>267</v>
      </c>
      <c r="F25" s="112" t="s">
        <v>89</v>
      </c>
      <c r="G25" s="112" t="s">
        <v>268</v>
      </c>
      <c r="H25" s="112" t="s">
        <v>171</v>
      </c>
      <c r="I25" s="112" t="s">
        <v>172</v>
      </c>
      <c r="J25" s="112" t="s">
        <v>183</v>
      </c>
      <c r="K25" s="112" t="s">
        <v>172</v>
      </c>
      <c r="L25" s="112" t="s">
        <v>184</v>
      </c>
      <c r="M25" s="112" t="s">
        <v>176</v>
      </c>
      <c r="N25" s="112" t="s">
        <v>176</v>
      </c>
      <c r="O25" s="112" t="s">
        <v>184</v>
      </c>
      <c r="P25" s="112" t="s">
        <v>184</v>
      </c>
      <c r="Q25" s="112" t="s">
        <v>177</v>
      </c>
      <c r="R25" s="112">
        <v>38357</v>
      </c>
      <c r="S25" s="112">
        <v>58357</v>
      </c>
      <c r="T25" s="113">
        <v>3939.26</v>
      </c>
      <c r="U25" s="113">
        <v>3939.26</v>
      </c>
      <c r="V25" s="113">
        <v>0</v>
      </c>
      <c r="W25" s="113">
        <v>0</v>
      </c>
      <c r="X25" s="112"/>
      <c r="Y25" s="113"/>
      <c r="Z25" s="87" t="str">
        <f t="shared" si="0"/>
        <v>PARANAGUA/LAPA</v>
      </c>
      <c r="AA25" s="87">
        <f>IFERROR(_xlfn.XLOOKUP(Z25,Rotas!C:C,Rotas!D:D),"0")</f>
        <v>153</v>
      </c>
      <c r="AB25" s="88" t="str">
        <f t="shared" si="1"/>
        <v>BWT</v>
      </c>
      <c r="AC25" s="21" t="str" cm="1">
        <f t="array" ref="AC25">IFERROR(
INDEX(
_xlfn._xlws.FILTER(
BWT!$C$1:$C$100,
ISNUMBER(FIND(
SUBSTITUTE(BWT!$C$1:$C$100," ",""),
SUBSTITUTE(SUBSTITUTE(SUBSTITUTE(F25," ",""),"-",""),CHAR(160),"")
))
),
1
),
"")</f>
        <v>BBM5I48</v>
      </c>
    </row>
    <row r="26" spans="1:29" hidden="1" x14ac:dyDescent="0.3">
      <c r="A26" s="112" t="s">
        <v>319</v>
      </c>
      <c r="B26" s="112" t="s">
        <v>165</v>
      </c>
      <c r="C26" s="112" t="s">
        <v>248</v>
      </c>
      <c r="D26" s="112" t="s">
        <v>320</v>
      </c>
      <c r="E26" s="112" t="s">
        <v>321</v>
      </c>
      <c r="F26" s="112" t="s">
        <v>322</v>
      </c>
      <c r="G26" s="112" t="s">
        <v>323</v>
      </c>
      <c r="H26" s="112" t="s">
        <v>324</v>
      </c>
      <c r="I26" s="112" t="s">
        <v>172</v>
      </c>
      <c r="J26" s="112" t="s">
        <v>233</v>
      </c>
      <c r="K26" s="112" t="s">
        <v>172</v>
      </c>
      <c r="L26" s="112" t="s">
        <v>217</v>
      </c>
      <c r="M26" s="112" t="s">
        <v>325</v>
      </c>
      <c r="N26" s="112" t="s">
        <v>325</v>
      </c>
      <c r="O26" s="112" t="s">
        <v>217</v>
      </c>
      <c r="P26" s="112" t="s">
        <v>217</v>
      </c>
      <c r="Q26" s="112" t="s">
        <v>219</v>
      </c>
      <c r="R26" s="112">
        <v>59400</v>
      </c>
      <c r="S26" s="112">
        <v>46900</v>
      </c>
      <c r="T26" s="113">
        <v>6424.11</v>
      </c>
      <c r="U26" s="113">
        <v>6424.11</v>
      </c>
      <c r="V26" s="113">
        <v>0</v>
      </c>
      <c r="W26" s="113">
        <v>0</v>
      </c>
      <c r="X26" s="112"/>
      <c r="Y26" s="113"/>
      <c r="Z26" s="87" t="str">
        <f t="shared" si="0"/>
        <v>SAO CARLOS DO IVAI/ARAUCARIA</v>
      </c>
      <c r="AA26" s="87">
        <f>IFERROR(_xlfn.XLOOKUP(Z26,Rotas!C:C,Rotas!D:D),"0")</f>
        <v>491</v>
      </c>
      <c r="AB26" s="88" t="str">
        <f t="shared" si="1"/>
        <v>BWT</v>
      </c>
      <c r="AC26" s="21" t="str" cm="1">
        <f t="array" ref="AC26">IFERROR(
INDEX(
_xlfn._xlws.FILTER(
BWT!$C$1:$C$100,
ISNUMBER(FIND(
SUBSTITUTE(BWT!$C$1:$C$100," ",""),
SUBSTITUTE(SUBSTITUTE(SUBSTITUTE(F26," ",""),"-",""),CHAR(160),"")
))
),
1
),
"")</f>
        <v>TAW2A61</v>
      </c>
    </row>
    <row r="27" spans="1:29" hidden="1" x14ac:dyDescent="0.3">
      <c r="A27" s="112" t="s">
        <v>326</v>
      </c>
      <c r="B27" s="112" t="s">
        <v>165</v>
      </c>
      <c r="C27" s="112" t="s">
        <v>248</v>
      </c>
      <c r="D27" s="112" t="s">
        <v>327</v>
      </c>
      <c r="E27" s="112" t="s">
        <v>328</v>
      </c>
      <c r="F27" s="112" t="s">
        <v>329</v>
      </c>
      <c r="G27" s="112" t="s">
        <v>330</v>
      </c>
      <c r="H27" s="112" t="s">
        <v>324</v>
      </c>
      <c r="I27" s="112" t="s">
        <v>172</v>
      </c>
      <c r="J27" s="112" t="s">
        <v>233</v>
      </c>
      <c r="K27" s="112" t="s">
        <v>172</v>
      </c>
      <c r="L27" s="112" t="s">
        <v>217</v>
      </c>
      <c r="M27" s="112" t="s">
        <v>325</v>
      </c>
      <c r="N27" s="112" t="s">
        <v>325</v>
      </c>
      <c r="O27" s="112" t="s">
        <v>217</v>
      </c>
      <c r="P27" s="112" t="s">
        <v>217</v>
      </c>
      <c r="Q27" s="112" t="s">
        <v>219</v>
      </c>
      <c r="R27" s="112">
        <v>59454</v>
      </c>
      <c r="S27" s="112">
        <v>46940</v>
      </c>
      <c r="T27" s="113">
        <v>6429.95</v>
      </c>
      <c r="U27" s="113">
        <v>6429.95</v>
      </c>
      <c r="V27" s="113">
        <v>0</v>
      </c>
      <c r="W27" s="113">
        <v>0</v>
      </c>
      <c r="X27" s="112"/>
      <c r="Y27" s="113"/>
      <c r="Z27" s="87" t="str">
        <f t="shared" si="0"/>
        <v>SAO CARLOS DO IVAI/ARAUCARIA</v>
      </c>
      <c r="AA27" s="87">
        <f>IFERROR(_xlfn.XLOOKUP(Z27,Rotas!C:C,Rotas!D:D),"0")</f>
        <v>491</v>
      </c>
      <c r="AB27" s="88" t="str">
        <f t="shared" si="1"/>
        <v>BWT</v>
      </c>
      <c r="AC27" s="21" t="str" cm="1">
        <f t="array" ref="AC27">IFERROR(
INDEX(
_xlfn._xlws.FILTER(
BWT!$C$1:$C$100,
ISNUMBER(FIND(
SUBSTITUTE(BWT!$C$1:$C$100," ",""),
SUBSTITUTE(SUBSTITUTE(SUBSTITUTE(F27," ",""),"-",""),CHAR(160),"")
))
),
1
),
"")</f>
        <v>SFC5F71</v>
      </c>
    </row>
    <row r="28" spans="1:29" hidden="1" x14ac:dyDescent="0.3">
      <c r="A28" s="112" t="s">
        <v>269</v>
      </c>
      <c r="B28" s="112" t="s">
        <v>165</v>
      </c>
      <c r="C28" s="112" t="s">
        <v>248</v>
      </c>
      <c r="D28" s="112" t="s">
        <v>270</v>
      </c>
      <c r="E28" s="112" t="s">
        <v>271</v>
      </c>
      <c r="F28" s="112" t="s">
        <v>198</v>
      </c>
      <c r="G28" s="112" t="s">
        <v>199</v>
      </c>
      <c r="H28" s="112" t="s">
        <v>171</v>
      </c>
      <c r="I28" s="112" t="s">
        <v>172</v>
      </c>
      <c r="J28" s="112" t="s">
        <v>272</v>
      </c>
      <c r="K28" s="112" t="s">
        <v>174</v>
      </c>
      <c r="L28" s="112" t="s">
        <v>273</v>
      </c>
      <c r="M28" s="112" t="s">
        <v>274</v>
      </c>
      <c r="N28" s="112" t="s">
        <v>176</v>
      </c>
      <c r="O28" s="112" t="s">
        <v>273</v>
      </c>
      <c r="P28" s="112" t="s">
        <v>273</v>
      </c>
      <c r="Q28" s="112" t="s">
        <v>177</v>
      </c>
      <c r="R28" s="112">
        <v>48660</v>
      </c>
      <c r="S28" s="112">
        <v>73820</v>
      </c>
      <c r="T28" s="113">
        <v>10461.9</v>
      </c>
      <c r="U28" s="113">
        <v>8671.8700000000008</v>
      </c>
      <c r="V28" s="113">
        <v>607.5</v>
      </c>
      <c r="W28" s="113">
        <v>1182.53</v>
      </c>
      <c r="X28" s="121">
        <v>0.12</v>
      </c>
      <c r="Y28" s="113">
        <v>9854.4</v>
      </c>
      <c r="Z28" s="87" t="str">
        <f t="shared" si="0"/>
        <v>PARANAGUA/MUITOS CAPOES</v>
      </c>
      <c r="AA28" s="87">
        <f>IFERROR(_xlfn.XLOOKUP(Z28,Rotas!C:C,Rotas!D:D),"0")</f>
        <v>581</v>
      </c>
      <c r="AB28" s="88" t="str">
        <f t="shared" si="1"/>
        <v>SUBCONTRATADO</v>
      </c>
      <c r="AC28" s="21" cm="1">
        <f t="array" ref="AC28">IFERROR(
INDEX(
_xlfn._xlws.FILTER(
BWT!$C$1:$C$100,
ISNUMBER(FIND(
SUBSTITUTE(BWT!$C$1:$C$100," ",""),
SUBSTITUTE(SUBSTITUTE(SUBSTITUTE(F28," ",""),"-",""),CHAR(160),"")
))
),
1
),
"")</f>
        <v>0</v>
      </c>
    </row>
    <row r="29" spans="1:29" hidden="1" x14ac:dyDescent="0.3">
      <c r="A29" s="112" t="s">
        <v>247</v>
      </c>
      <c r="B29" s="112" t="s">
        <v>236</v>
      </c>
      <c r="C29" s="112" t="s">
        <v>248</v>
      </c>
      <c r="D29" s="112" t="s">
        <v>249</v>
      </c>
      <c r="E29" s="112" t="s">
        <v>250</v>
      </c>
      <c r="F29" s="112" t="s">
        <v>251</v>
      </c>
      <c r="G29" s="112" t="s">
        <v>252</v>
      </c>
      <c r="H29" s="112" t="s">
        <v>173</v>
      </c>
      <c r="I29" s="112" t="s">
        <v>174</v>
      </c>
      <c r="J29" s="112" t="s">
        <v>253</v>
      </c>
      <c r="K29" s="112" t="s">
        <v>243</v>
      </c>
      <c r="L29" s="112" t="s">
        <v>254</v>
      </c>
      <c r="M29" s="112" t="s">
        <v>255</v>
      </c>
      <c r="N29" s="112" t="s">
        <v>255</v>
      </c>
      <c r="O29" s="112" t="s">
        <v>254</v>
      </c>
      <c r="P29" s="112" t="s">
        <v>254</v>
      </c>
      <c r="Q29" s="112" t="s">
        <v>246</v>
      </c>
      <c r="R29" s="112">
        <v>58599</v>
      </c>
      <c r="S29" s="112">
        <v>51680</v>
      </c>
      <c r="T29" s="113">
        <v>5327.18</v>
      </c>
      <c r="U29" s="113">
        <v>4687.92</v>
      </c>
      <c r="V29" s="113">
        <v>0</v>
      </c>
      <c r="W29" s="113">
        <v>639.26</v>
      </c>
      <c r="X29" s="121">
        <v>0.12</v>
      </c>
      <c r="Y29" s="113">
        <v>5327.18</v>
      </c>
      <c r="Z29" s="87" t="str">
        <f t="shared" si="0"/>
        <v>IJUI/CHAPECO</v>
      </c>
      <c r="AA29" s="87">
        <f>IFERROR(_xlfn.XLOOKUP(Z29,Rotas!C:C,Rotas!D:D),"0")</f>
        <v>279</v>
      </c>
      <c r="AB29" s="88" t="str">
        <f t="shared" si="1"/>
        <v>BWT</v>
      </c>
      <c r="AC29" s="21" t="str" cm="1">
        <f t="array" ref="AC29">IFERROR(
INDEX(
_xlfn._xlws.FILTER(
BWT!$C$1:$C$100,
ISNUMBER(FIND(
SUBSTITUTE(BWT!$C$1:$C$100," ",""),
SUBSTITUTE(SUBSTITUTE(SUBSTITUTE(F29," ",""),"-",""),CHAR(160),"")
))
),
1
),
"")</f>
        <v>SEE2J88</v>
      </c>
    </row>
    <row r="30" spans="1:29" x14ac:dyDescent="0.3">
      <c r="A30" s="112" t="s">
        <v>349</v>
      </c>
      <c r="B30" s="112" t="s">
        <v>236</v>
      </c>
      <c r="C30" s="112" t="s">
        <v>248</v>
      </c>
      <c r="D30" s="112" t="s">
        <v>350</v>
      </c>
      <c r="E30" s="112" t="s">
        <v>351</v>
      </c>
      <c r="F30" s="112" t="s">
        <v>352</v>
      </c>
      <c r="G30" s="112" t="s">
        <v>353</v>
      </c>
      <c r="H30" s="112" t="s">
        <v>241</v>
      </c>
      <c r="I30" s="112" t="s">
        <v>174</v>
      </c>
      <c r="J30" s="112" t="s">
        <v>347</v>
      </c>
      <c r="K30" s="112" t="s">
        <v>232</v>
      </c>
      <c r="L30" s="112" t="s">
        <v>348</v>
      </c>
      <c r="M30" s="112" t="s">
        <v>245</v>
      </c>
      <c r="N30" s="112" t="s">
        <v>245</v>
      </c>
      <c r="O30" s="112" t="s">
        <v>348</v>
      </c>
      <c r="P30" s="112" t="s">
        <v>348</v>
      </c>
      <c r="Q30" s="112" t="s">
        <v>246</v>
      </c>
      <c r="R30" s="112">
        <v>59634</v>
      </c>
      <c r="S30" s="112">
        <v>52160</v>
      </c>
      <c r="T30" s="113">
        <v>26344.69</v>
      </c>
      <c r="U30" s="113">
        <v>22398.53</v>
      </c>
      <c r="V30" s="113">
        <v>784.8</v>
      </c>
      <c r="W30" s="113">
        <v>3161.36</v>
      </c>
      <c r="X30" s="121">
        <v>0.12</v>
      </c>
      <c r="Y30" s="113">
        <v>26344.69</v>
      </c>
      <c r="Z30" s="87" t="str">
        <f t="shared" si="0"/>
        <v>CAMARGO/SAO JOSE DOS CAMPOS</v>
      </c>
      <c r="AA30" s="87">
        <f>IFERROR(_xlfn.XLOOKUP(Z30,Rotas!C:C,Rotas!D:D),"0")</f>
        <v>1109</v>
      </c>
      <c r="AB30" s="88" t="str">
        <f t="shared" si="1"/>
        <v>BWT</v>
      </c>
      <c r="AC30" s="21" t="str" cm="1">
        <f t="array" ref="AC30">IFERROR(
INDEX(
_xlfn._xlws.FILTER(
BWT!$C$1:$C$100,
ISNUMBER(FIND(
SUBSTITUTE(BWT!$C$1:$C$100," ",""),
SUBSTITUTE(SUBSTITUTE(SUBSTITUTE(F30," ",""),"-",""),CHAR(160),"")
))
),
1
),
"")</f>
        <v>SFF3I83</v>
      </c>
    </row>
    <row r="31" spans="1:29" x14ac:dyDescent="0.3">
      <c r="A31" s="112" t="s">
        <v>342</v>
      </c>
      <c r="B31" s="112" t="s">
        <v>236</v>
      </c>
      <c r="C31" s="112" t="s">
        <v>248</v>
      </c>
      <c r="D31" s="112" t="s">
        <v>343</v>
      </c>
      <c r="E31" s="112" t="s">
        <v>344</v>
      </c>
      <c r="F31" s="112" t="s">
        <v>345</v>
      </c>
      <c r="G31" s="112" t="s">
        <v>346</v>
      </c>
      <c r="H31" s="112" t="s">
        <v>241</v>
      </c>
      <c r="I31" s="112" t="s">
        <v>174</v>
      </c>
      <c r="J31" s="112" t="s">
        <v>347</v>
      </c>
      <c r="K31" s="112" t="s">
        <v>232</v>
      </c>
      <c r="L31" s="112" t="s">
        <v>348</v>
      </c>
      <c r="M31" s="112" t="s">
        <v>245</v>
      </c>
      <c r="N31" s="112" t="s">
        <v>245</v>
      </c>
      <c r="O31" s="112" t="s">
        <v>348</v>
      </c>
      <c r="P31" s="112" t="s">
        <v>348</v>
      </c>
      <c r="Q31" s="112" t="s">
        <v>246</v>
      </c>
      <c r="R31" s="112">
        <v>59634</v>
      </c>
      <c r="S31" s="112">
        <v>52060</v>
      </c>
      <c r="T31" s="113">
        <v>26344.69</v>
      </c>
      <c r="U31" s="113">
        <v>22398.53</v>
      </c>
      <c r="V31" s="113">
        <v>784.8</v>
      </c>
      <c r="W31" s="113">
        <v>3161.36</v>
      </c>
      <c r="X31" s="121">
        <v>0.12</v>
      </c>
      <c r="Y31" s="113">
        <v>26344.69</v>
      </c>
      <c r="Z31" s="87" t="str">
        <f t="shared" si="0"/>
        <v>CAMARGO/SAO JOSE DOS CAMPOS</v>
      </c>
      <c r="AA31" s="87">
        <f>IFERROR(_xlfn.XLOOKUP(Z31,Rotas!C:C,Rotas!D:D),"0")</f>
        <v>1109</v>
      </c>
      <c r="AB31" s="88" t="str">
        <f t="shared" si="1"/>
        <v>BWT</v>
      </c>
      <c r="AC31" s="21" t="str" cm="1">
        <f t="array" ref="AC31">IFERROR(
INDEX(
_xlfn._xlws.FILTER(
BWT!$C$1:$C$100,
ISNUMBER(FIND(
SUBSTITUTE(BWT!$C$1:$C$100," ",""),
SUBSTITUTE(SUBSTITUTE(SUBSTITUTE(F31," ",""),"-",""),CHAR(160),"")
))
),
1
),
"")</f>
        <v>RHG5D74</v>
      </c>
    </row>
    <row r="32" spans="1:29" x14ac:dyDescent="0.3">
      <c r="A32" s="112" t="s">
        <v>354</v>
      </c>
      <c r="B32" s="112" t="s">
        <v>236</v>
      </c>
      <c r="C32" s="112" t="s">
        <v>248</v>
      </c>
      <c r="D32" s="112" t="s">
        <v>355</v>
      </c>
      <c r="E32" s="112" t="s">
        <v>356</v>
      </c>
      <c r="F32" s="112" t="s">
        <v>357</v>
      </c>
      <c r="G32" s="112" t="s">
        <v>358</v>
      </c>
      <c r="H32" s="112" t="s">
        <v>241</v>
      </c>
      <c r="I32" s="112" t="s">
        <v>174</v>
      </c>
      <c r="J32" s="112" t="s">
        <v>347</v>
      </c>
      <c r="K32" s="112" t="s">
        <v>232</v>
      </c>
      <c r="L32" s="112" t="s">
        <v>348</v>
      </c>
      <c r="M32" s="112" t="s">
        <v>245</v>
      </c>
      <c r="N32" s="112" t="s">
        <v>245</v>
      </c>
      <c r="O32" s="112" t="s">
        <v>348</v>
      </c>
      <c r="P32" s="112" t="s">
        <v>348</v>
      </c>
      <c r="Q32" s="112" t="s">
        <v>246</v>
      </c>
      <c r="R32" s="112">
        <v>59610</v>
      </c>
      <c r="S32" s="112">
        <v>52200</v>
      </c>
      <c r="T32" s="113">
        <v>26334.45</v>
      </c>
      <c r="U32" s="113">
        <v>22389.52</v>
      </c>
      <c r="V32" s="113">
        <v>784.8</v>
      </c>
      <c r="W32" s="113">
        <v>3160.13</v>
      </c>
      <c r="X32" s="121">
        <v>0.12</v>
      </c>
      <c r="Y32" s="113">
        <v>26334.45</v>
      </c>
      <c r="Z32" s="87" t="str">
        <f t="shared" si="0"/>
        <v>CAMARGO/SAO JOSE DOS CAMPOS</v>
      </c>
      <c r="AA32" s="87">
        <f>IFERROR(_xlfn.XLOOKUP(Z32,Rotas!C:C,Rotas!D:D),"0")</f>
        <v>1109</v>
      </c>
      <c r="AB32" s="88" t="str">
        <f t="shared" si="1"/>
        <v>BWT</v>
      </c>
      <c r="AC32" s="21" t="str" cm="1">
        <f t="array" ref="AC32">IFERROR(
INDEX(
_xlfn._xlws.FILTER(
BWT!$C$1:$C$100,
ISNUMBER(FIND(
SUBSTITUTE(BWT!$C$1:$C$100," ",""),
SUBSTITUTE(SUBSTITUTE(SUBSTITUTE(F32," ",""),"-",""),CHAR(160),"")
))
),
1
),
"")</f>
        <v>RHH5C90</v>
      </c>
    </row>
    <row r="33" spans="1:29" x14ac:dyDescent="0.3">
      <c r="A33" s="112" t="s">
        <v>359</v>
      </c>
      <c r="B33" s="112" t="s">
        <v>236</v>
      </c>
      <c r="C33" s="112" t="s">
        <v>248</v>
      </c>
      <c r="D33" s="112" t="s">
        <v>360</v>
      </c>
      <c r="E33" s="112" t="s">
        <v>361</v>
      </c>
      <c r="F33" s="112" t="s">
        <v>362</v>
      </c>
      <c r="G33" s="112" t="s">
        <v>363</v>
      </c>
      <c r="H33" s="112" t="s">
        <v>241</v>
      </c>
      <c r="I33" s="112" t="s">
        <v>174</v>
      </c>
      <c r="J33" s="112" t="s">
        <v>347</v>
      </c>
      <c r="K33" s="112" t="s">
        <v>232</v>
      </c>
      <c r="L33" s="112" t="s">
        <v>348</v>
      </c>
      <c r="M33" s="112" t="s">
        <v>245</v>
      </c>
      <c r="N33" s="112" t="s">
        <v>245</v>
      </c>
      <c r="O33" s="112" t="s">
        <v>348</v>
      </c>
      <c r="P33" s="112" t="s">
        <v>348</v>
      </c>
      <c r="Q33" s="112" t="s">
        <v>246</v>
      </c>
      <c r="R33" s="112">
        <v>59592</v>
      </c>
      <c r="S33" s="112">
        <v>52140</v>
      </c>
      <c r="T33" s="113">
        <v>26326.77</v>
      </c>
      <c r="U33" s="113">
        <v>22382.76</v>
      </c>
      <c r="V33" s="113">
        <v>784.8</v>
      </c>
      <c r="W33" s="113">
        <v>3159.21</v>
      </c>
      <c r="X33" s="121">
        <v>0.12</v>
      </c>
      <c r="Y33" s="113">
        <v>26326.77</v>
      </c>
      <c r="Z33" s="87" t="str">
        <f t="shared" si="0"/>
        <v>CAMARGO/SAO JOSE DOS CAMPOS</v>
      </c>
      <c r="AA33" s="87">
        <f>IFERROR(_xlfn.XLOOKUP(Z33,Rotas!C:C,Rotas!D:D),"0")</f>
        <v>1109</v>
      </c>
      <c r="AB33" s="88" t="str">
        <f t="shared" si="1"/>
        <v>BWT</v>
      </c>
      <c r="AC33" s="21" t="str" cm="1">
        <f t="array" ref="AC33">IFERROR(
INDEX(
_xlfn._xlws.FILTER(
BWT!$C$1:$C$100,
ISNUMBER(FIND(
SUBSTITUTE(BWT!$C$1:$C$100," ",""),
SUBSTITUTE(SUBSTITUTE(SUBSTITUTE(F33," ",""),"-",""),CHAR(160),"")
))
),
1
),
"")</f>
        <v>SFC5G04</v>
      </c>
    </row>
    <row r="34" spans="1:29" hidden="1" x14ac:dyDescent="0.3">
      <c r="A34" s="112" t="s">
        <v>331</v>
      </c>
      <c r="B34" s="112" t="s">
        <v>236</v>
      </c>
      <c r="C34" s="112" t="s">
        <v>248</v>
      </c>
      <c r="D34" s="112" t="s">
        <v>332</v>
      </c>
      <c r="E34" s="112" t="s">
        <v>333</v>
      </c>
      <c r="F34" s="112" t="s">
        <v>334</v>
      </c>
      <c r="G34" s="112" t="s">
        <v>335</v>
      </c>
      <c r="H34" s="112" t="s">
        <v>272</v>
      </c>
      <c r="I34" s="112" t="s">
        <v>174</v>
      </c>
      <c r="J34" s="112" t="s">
        <v>233</v>
      </c>
      <c r="K34" s="112" t="s">
        <v>172</v>
      </c>
      <c r="L34" s="112" t="s">
        <v>336</v>
      </c>
      <c r="M34" s="112" t="s">
        <v>273</v>
      </c>
      <c r="N34" s="112" t="s">
        <v>273</v>
      </c>
      <c r="O34" s="112" t="s">
        <v>336</v>
      </c>
      <c r="P34" s="112" t="s">
        <v>336</v>
      </c>
      <c r="Q34" s="112" t="s">
        <v>246</v>
      </c>
      <c r="R34" s="112">
        <v>59604</v>
      </c>
      <c r="S34" s="112">
        <v>77880</v>
      </c>
      <c r="T34" s="113">
        <v>8344.56</v>
      </c>
      <c r="U34" s="113">
        <v>6951.71</v>
      </c>
      <c r="V34" s="113">
        <v>391.5</v>
      </c>
      <c r="W34" s="113">
        <v>1001.35</v>
      </c>
      <c r="X34" s="121">
        <v>0.12</v>
      </c>
      <c r="Y34" s="113">
        <v>8344.56</v>
      </c>
      <c r="Z34" s="87" t="str">
        <f t="shared" ref="Z34:Z65" si="2">IF(H34&amp;J34="","CT-e COMPLEMENTAR",H34&amp;"/"&amp;J34)</f>
        <v>MUITOS CAPOES/ARAUCARIA</v>
      </c>
      <c r="AA34" s="87">
        <f>IFERROR(_xlfn.XLOOKUP(Z34,Rotas!C:C,Rotas!D:D),"0")</f>
        <v>495</v>
      </c>
      <c r="AB34" s="88" t="str">
        <f t="shared" ref="AB34:AB65" si="3">IF(AC34=0,"SUBCONTRATADO","BWT")</f>
        <v>BWT</v>
      </c>
      <c r="AC34" s="21" t="str" cm="1">
        <f t="array" ref="AC34">IFERROR(
INDEX(
_xlfn._xlws.FILTER(
BWT!$C$1:$C$100,
ISNUMBER(FIND(
SUBSTITUTE(BWT!$C$1:$C$100," ",""),
SUBSTITUTE(SUBSTITUTE(SUBSTITUTE(F34," ",""),"-",""),CHAR(160),"")
))
),
1
),
"")</f>
        <v>SFF3I82</v>
      </c>
    </row>
    <row r="35" spans="1:29" hidden="1" x14ac:dyDescent="0.3">
      <c r="A35" s="112" t="s">
        <v>337</v>
      </c>
      <c r="B35" s="112" t="s">
        <v>236</v>
      </c>
      <c r="C35" s="112" t="s">
        <v>248</v>
      </c>
      <c r="D35" s="112" t="s">
        <v>338</v>
      </c>
      <c r="E35" s="112" t="s">
        <v>339</v>
      </c>
      <c r="F35" s="112" t="s">
        <v>340</v>
      </c>
      <c r="G35" s="112" t="s">
        <v>341</v>
      </c>
      <c r="H35" s="112" t="s">
        <v>272</v>
      </c>
      <c r="I35" s="112" t="s">
        <v>174</v>
      </c>
      <c r="J35" s="112" t="s">
        <v>233</v>
      </c>
      <c r="K35" s="112" t="s">
        <v>172</v>
      </c>
      <c r="L35" s="112" t="s">
        <v>336</v>
      </c>
      <c r="M35" s="112" t="s">
        <v>273</v>
      </c>
      <c r="N35" s="112" t="s">
        <v>273</v>
      </c>
      <c r="O35" s="112" t="s">
        <v>336</v>
      </c>
      <c r="P35" s="112" t="s">
        <v>336</v>
      </c>
      <c r="Q35" s="112" t="s">
        <v>246</v>
      </c>
      <c r="R35" s="112">
        <v>59558</v>
      </c>
      <c r="S35" s="112">
        <v>77960</v>
      </c>
      <c r="T35" s="113">
        <v>8338.1299999999992</v>
      </c>
      <c r="U35" s="113">
        <v>6946.05</v>
      </c>
      <c r="V35" s="113">
        <v>391.5</v>
      </c>
      <c r="W35" s="113">
        <v>1000.58</v>
      </c>
      <c r="X35" s="121">
        <v>0.12</v>
      </c>
      <c r="Y35" s="113">
        <v>8338.1299999999992</v>
      </c>
      <c r="Z35" s="87" t="str">
        <f t="shared" si="2"/>
        <v>MUITOS CAPOES/ARAUCARIA</v>
      </c>
      <c r="AA35" s="87">
        <f>IFERROR(_xlfn.XLOOKUP(Z35,Rotas!C:C,Rotas!D:D),"0")</f>
        <v>495</v>
      </c>
      <c r="AB35" s="88" t="str">
        <f t="shared" si="3"/>
        <v>BWT</v>
      </c>
      <c r="AC35" s="21" t="str" cm="1">
        <f t="array" ref="AC35">IFERROR(
INDEX(
_xlfn._xlws.FILTER(
BWT!$C$1:$C$100,
ISNUMBER(FIND(
SUBSTITUTE(BWT!$C$1:$C$100," ",""),
SUBSTITUTE(SUBSTITUTE(SUBSTITUTE(F35," ",""),"-",""),CHAR(160),"")
))
),
1
),
"")</f>
        <v>RHI3D46</v>
      </c>
    </row>
    <row r="36" spans="1:29" hidden="1" x14ac:dyDescent="0.3">
      <c r="A36" s="112" t="s">
        <v>382</v>
      </c>
      <c r="B36" s="112" t="s">
        <v>226</v>
      </c>
      <c r="C36" s="112" t="s">
        <v>365</v>
      </c>
      <c r="D36" s="112" t="s">
        <v>383</v>
      </c>
      <c r="E36" s="112" t="s">
        <v>384</v>
      </c>
      <c r="F36" s="112" t="s">
        <v>385</v>
      </c>
      <c r="G36" s="112" t="s">
        <v>386</v>
      </c>
      <c r="H36" s="112" t="s">
        <v>280</v>
      </c>
      <c r="I36" s="112" t="s">
        <v>232</v>
      </c>
      <c r="J36" s="112" t="s">
        <v>281</v>
      </c>
      <c r="K36" s="112" t="s">
        <v>232</v>
      </c>
      <c r="L36" s="112" t="s">
        <v>254</v>
      </c>
      <c r="M36" s="112" t="s">
        <v>254</v>
      </c>
      <c r="N36" s="112" t="s">
        <v>282</v>
      </c>
      <c r="O36" s="112" t="s">
        <v>217</v>
      </c>
      <c r="P36" s="112" t="s">
        <v>217</v>
      </c>
      <c r="Q36" s="112" t="s">
        <v>283</v>
      </c>
      <c r="R36" s="112">
        <v>63211</v>
      </c>
      <c r="S36" s="112">
        <v>45664</v>
      </c>
      <c r="T36" s="113">
        <v>3149.77</v>
      </c>
      <c r="U36" s="113">
        <v>2771.8</v>
      </c>
      <c r="V36" s="113">
        <v>0</v>
      </c>
      <c r="W36" s="113">
        <v>377.97</v>
      </c>
      <c r="X36" s="121">
        <v>0.12</v>
      </c>
      <c r="Y36" s="113">
        <v>3149.77</v>
      </c>
      <c r="Z36" s="87" t="str">
        <f t="shared" si="2"/>
        <v>SANTOS/PAULINIA</v>
      </c>
      <c r="AA36" s="87">
        <f>IFERROR(_xlfn.XLOOKUP(Z36,Rotas!C:C,Rotas!D:D),"0")</f>
        <v>215</v>
      </c>
      <c r="AB36" s="88" t="str">
        <f t="shared" si="3"/>
        <v>BWT</v>
      </c>
      <c r="AC36" s="21" t="str" cm="1">
        <f t="array" ref="AC36">IFERROR(
INDEX(
_xlfn._xlws.FILTER(
BWT!$C$1:$C$100,
ISNUMBER(FIND(
SUBSTITUTE(BWT!$C$1:$C$100," ",""),
SUBSTITUTE(SUBSTITUTE(SUBSTITUTE(F36," ",""),"-",""),CHAR(160),"")
))
),
1
),
"")</f>
        <v>SEX2C75</v>
      </c>
    </row>
    <row r="37" spans="1:29" hidden="1" x14ac:dyDescent="0.3">
      <c r="A37" s="112" t="s">
        <v>387</v>
      </c>
      <c r="B37" s="112" t="s">
        <v>226</v>
      </c>
      <c r="C37" s="112" t="s">
        <v>365</v>
      </c>
      <c r="D37" s="112" t="s">
        <v>388</v>
      </c>
      <c r="E37" s="112" t="s">
        <v>389</v>
      </c>
      <c r="F37" s="112" t="s">
        <v>390</v>
      </c>
      <c r="G37" s="112" t="s">
        <v>391</v>
      </c>
      <c r="H37" s="112" t="s">
        <v>280</v>
      </c>
      <c r="I37" s="112" t="s">
        <v>232</v>
      </c>
      <c r="J37" s="112" t="s">
        <v>281</v>
      </c>
      <c r="K37" s="112" t="s">
        <v>232</v>
      </c>
      <c r="L37" s="112" t="s">
        <v>254</v>
      </c>
      <c r="M37" s="112" t="s">
        <v>254</v>
      </c>
      <c r="N37" s="112" t="s">
        <v>282</v>
      </c>
      <c r="O37" s="112" t="s">
        <v>217</v>
      </c>
      <c r="P37" s="112" t="s">
        <v>217</v>
      </c>
      <c r="Q37" s="112" t="s">
        <v>283</v>
      </c>
      <c r="R37" s="112">
        <v>63191</v>
      </c>
      <c r="S37" s="112">
        <v>45681</v>
      </c>
      <c r="T37" s="113">
        <v>3150.22</v>
      </c>
      <c r="U37" s="113">
        <v>2772.19</v>
      </c>
      <c r="V37" s="113">
        <v>0</v>
      </c>
      <c r="W37" s="113">
        <v>378.03</v>
      </c>
      <c r="X37" s="121">
        <v>0.12</v>
      </c>
      <c r="Y37" s="113">
        <v>3150.22</v>
      </c>
      <c r="Z37" s="87" t="str">
        <f t="shared" si="2"/>
        <v>SANTOS/PAULINIA</v>
      </c>
      <c r="AA37" s="87">
        <f>IFERROR(_xlfn.XLOOKUP(Z37,Rotas!C:C,Rotas!D:D),"0")</f>
        <v>215</v>
      </c>
      <c r="AB37" s="88" t="str">
        <f t="shared" si="3"/>
        <v>BWT</v>
      </c>
      <c r="AC37" s="21" t="str" cm="1">
        <f t="array" ref="AC37">IFERROR(
INDEX(
_xlfn._xlws.FILTER(
BWT!$C$1:$C$100,
ISNUMBER(FIND(
SUBSTITUTE(BWT!$C$1:$C$100," ",""),
SUBSTITUTE(SUBSTITUTE(SUBSTITUTE(F37," ",""),"-",""),CHAR(160),"")
))
),
1
),
"")</f>
        <v>SEE2J90</v>
      </c>
    </row>
    <row r="38" spans="1:29" hidden="1" x14ac:dyDescent="0.3">
      <c r="A38" s="112" t="s">
        <v>392</v>
      </c>
      <c r="B38" s="112" t="s">
        <v>226</v>
      </c>
      <c r="C38" s="112" t="s">
        <v>365</v>
      </c>
      <c r="D38" s="112" t="s">
        <v>393</v>
      </c>
      <c r="E38" s="112" t="s">
        <v>394</v>
      </c>
      <c r="F38" s="112" t="s">
        <v>188</v>
      </c>
      <c r="G38" s="112" t="s">
        <v>189</v>
      </c>
      <c r="H38" s="112" t="s">
        <v>280</v>
      </c>
      <c r="I38" s="112" t="s">
        <v>232</v>
      </c>
      <c r="J38" s="112" t="s">
        <v>281</v>
      </c>
      <c r="K38" s="112" t="s">
        <v>232</v>
      </c>
      <c r="L38" s="112" t="s">
        <v>254</v>
      </c>
      <c r="M38" s="112" t="s">
        <v>254</v>
      </c>
      <c r="N38" s="112" t="s">
        <v>282</v>
      </c>
      <c r="O38" s="112" t="s">
        <v>217</v>
      </c>
      <c r="P38" s="112" t="s">
        <v>217</v>
      </c>
      <c r="Q38" s="112" t="s">
        <v>283</v>
      </c>
      <c r="R38" s="112">
        <v>63453</v>
      </c>
      <c r="S38" s="112">
        <v>45838</v>
      </c>
      <c r="T38" s="113">
        <v>3150.3</v>
      </c>
      <c r="U38" s="113">
        <v>2772.26</v>
      </c>
      <c r="V38" s="113">
        <v>0</v>
      </c>
      <c r="W38" s="113">
        <v>378.04</v>
      </c>
      <c r="X38" s="121">
        <v>0.12</v>
      </c>
      <c r="Y38" s="113">
        <v>3150.3</v>
      </c>
      <c r="Z38" s="87" t="str">
        <f t="shared" si="2"/>
        <v>SANTOS/PAULINIA</v>
      </c>
      <c r="AA38" s="87">
        <f>IFERROR(_xlfn.XLOOKUP(Z38,Rotas!C:C,Rotas!D:D),"0")</f>
        <v>215</v>
      </c>
      <c r="AB38" s="88" t="str">
        <f t="shared" si="3"/>
        <v>BWT</v>
      </c>
      <c r="AC38" s="21" t="str" cm="1">
        <f t="array" ref="AC38">IFERROR(
INDEX(
_xlfn._xlws.FILTER(
BWT!$C$1:$C$100,
ISNUMBER(FIND(
SUBSTITUTE(BWT!$C$1:$C$100," ",""),
SUBSTITUTE(SUBSTITUTE(SUBSTITUTE(F38," ",""),"-",""),CHAR(160),"")
))
),
1
),
"")</f>
        <v>BDQ4E29</v>
      </c>
    </row>
    <row r="39" spans="1:29" hidden="1" x14ac:dyDescent="0.3">
      <c r="A39" s="112" t="s">
        <v>395</v>
      </c>
      <c r="B39" s="112" t="s">
        <v>226</v>
      </c>
      <c r="C39" s="112" t="s">
        <v>365</v>
      </c>
      <c r="D39" s="112" t="s">
        <v>396</v>
      </c>
      <c r="E39" s="112" t="s">
        <v>397</v>
      </c>
      <c r="F39" s="112" t="s">
        <v>398</v>
      </c>
      <c r="G39" s="112" t="s">
        <v>399</v>
      </c>
      <c r="H39" s="112" t="s">
        <v>280</v>
      </c>
      <c r="I39" s="112" t="s">
        <v>232</v>
      </c>
      <c r="J39" s="112" t="s">
        <v>281</v>
      </c>
      <c r="K39" s="112" t="s">
        <v>232</v>
      </c>
      <c r="L39" s="112" t="s">
        <v>254</v>
      </c>
      <c r="M39" s="112" t="s">
        <v>254</v>
      </c>
      <c r="N39" s="112" t="s">
        <v>282</v>
      </c>
      <c r="O39" s="112" t="s">
        <v>217</v>
      </c>
      <c r="P39" s="112" t="s">
        <v>217</v>
      </c>
      <c r="Q39" s="112" t="s">
        <v>283</v>
      </c>
      <c r="R39" s="112">
        <v>63398</v>
      </c>
      <c r="S39" s="112">
        <v>45799</v>
      </c>
      <c r="T39" s="113">
        <v>3149.73</v>
      </c>
      <c r="U39" s="113">
        <v>2771.76</v>
      </c>
      <c r="V39" s="113">
        <v>0</v>
      </c>
      <c r="W39" s="113">
        <v>377.97</v>
      </c>
      <c r="X39" s="121">
        <v>0.12</v>
      </c>
      <c r="Y39" s="113">
        <v>3149.73</v>
      </c>
      <c r="Z39" s="87" t="str">
        <f t="shared" si="2"/>
        <v>SANTOS/PAULINIA</v>
      </c>
      <c r="AA39" s="87">
        <f>IFERROR(_xlfn.XLOOKUP(Z39,Rotas!C:C,Rotas!D:D),"0")</f>
        <v>215</v>
      </c>
      <c r="AB39" s="88" t="str">
        <f t="shared" si="3"/>
        <v>BWT</v>
      </c>
      <c r="AC39" s="21" t="str" cm="1">
        <f t="array" ref="AC39">IFERROR(
INDEX(
_xlfn._xlws.FILTER(
BWT!$C$1:$C$100,
ISNUMBER(FIND(
SUBSTITUTE(BWT!$C$1:$C$100," ",""),
SUBSTITUTE(SUBSTITUTE(SUBSTITUTE(F39," ",""),"-",""),CHAR(160),"")
))
),
1
),
"")</f>
        <v>SED7D20</v>
      </c>
    </row>
    <row r="40" spans="1:29" hidden="1" x14ac:dyDescent="0.3">
      <c r="A40" s="112" t="s">
        <v>400</v>
      </c>
      <c r="B40" s="112" t="s">
        <v>226</v>
      </c>
      <c r="C40" s="112" t="s">
        <v>365</v>
      </c>
      <c r="D40" s="112" t="s">
        <v>401</v>
      </c>
      <c r="E40" s="112" t="s">
        <v>402</v>
      </c>
      <c r="F40" s="112" t="s">
        <v>403</v>
      </c>
      <c r="G40" s="112" t="s">
        <v>404</v>
      </c>
      <c r="H40" s="112" t="s">
        <v>280</v>
      </c>
      <c r="I40" s="112" t="s">
        <v>232</v>
      </c>
      <c r="J40" s="112" t="s">
        <v>281</v>
      </c>
      <c r="K40" s="112" t="s">
        <v>232</v>
      </c>
      <c r="L40" s="112" t="s">
        <v>254</v>
      </c>
      <c r="M40" s="112" t="s">
        <v>254</v>
      </c>
      <c r="N40" s="112" t="s">
        <v>282</v>
      </c>
      <c r="O40" s="112" t="s">
        <v>217</v>
      </c>
      <c r="P40" s="112" t="s">
        <v>217</v>
      </c>
      <c r="Q40" s="112" t="s">
        <v>283</v>
      </c>
      <c r="R40" s="112">
        <v>63294</v>
      </c>
      <c r="S40" s="112">
        <v>46325</v>
      </c>
      <c r="T40" s="113">
        <v>3150.32</v>
      </c>
      <c r="U40" s="113">
        <v>2772.28</v>
      </c>
      <c r="V40" s="113">
        <v>0</v>
      </c>
      <c r="W40" s="113">
        <v>378.04</v>
      </c>
      <c r="X40" s="121">
        <v>0.12</v>
      </c>
      <c r="Y40" s="113">
        <v>3150.32</v>
      </c>
      <c r="Z40" s="87" t="str">
        <f t="shared" si="2"/>
        <v>SANTOS/PAULINIA</v>
      </c>
      <c r="AA40" s="87">
        <f>IFERROR(_xlfn.XLOOKUP(Z40,Rotas!C:C,Rotas!D:D),"0")</f>
        <v>215</v>
      </c>
      <c r="AB40" s="88" t="str">
        <f t="shared" si="3"/>
        <v>BWT</v>
      </c>
      <c r="AC40" s="21" t="str" cm="1">
        <f t="array" ref="AC40">IFERROR(
INDEX(
_xlfn._xlws.FILTER(
BWT!$C$1:$C$100,
ISNUMBER(FIND(
SUBSTITUTE(BWT!$C$1:$C$100," ",""),
SUBSTITUTE(SUBSTITUTE(SUBSTITUTE(F40," ",""),"-",""),CHAR(160),"")
))
),
1
),
"")</f>
        <v>SEE2J86</v>
      </c>
    </row>
    <row r="41" spans="1:29" hidden="1" x14ac:dyDescent="0.3">
      <c r="A41" s="112" t="s">
        <v>377</v>
      </c>
      <c r="B41" s="112" t="s">
        <v>165</v>
      </c>
      <c r="C41" s="112" t="s">
        <v>365</v>
      </c>
      <c r="D41" s="112" t="s">
        <v>378</v>
      </c>
      <c r="E41" s="112" t="s">
        <v>379</v>
      </c>
      <c r="F41" s="112" t="s">
        <v>380</v>
      </c>
      <c r="G41" s="112" t="s">
        <v>381</v>
      </c>
      <c r="H41" s="112" t="s">
        <v>171</v>
      </c>
      <c r="I41" s="112" t="s">
        <v>172</v>
      </c>
      <c r="J41" s="112" t="s">
        <v>272</v>
      </c>
      <c r="K41" s="112" t="s">
        <v>174</v>
      </c>
      <c r="L41" s="112" t="s">
        <v>273</v>
      </c>
      <c r="M41" s="112" t="s">
        <v>274</v>
      </c>
      <c r="N41" s="112" t="s">
        <v>176</v>
      </c>
      <c r="O41" s="112" t="s">
        <v>273</v>
      </c>
      <c r="P41" s="112" t="s">
        <v>273</v>
      </c>
      <c r="Q41" s="112" t="s">
        <v>177</v>
      </c>
      <c r="R41" s="112">
        <v>48477</v>
      </c>
      <c r="S41" s="112">
        <v>73837</v>
      </c>
      <c r="T41" s="113">
        <v>10422.56</v>
      </c>
      <c r="U41" s="113">
        <v>8637.25</v>
      </c>
      <c r="V41" s="113">
        <v>607.5</v>
      </c>
      <c r="W41" s="113">
        <v>1177.81</v>
      </c>
      <c r="X41" s="121">
        <v>0.12</v>
      </c>
      <c r="Y41" s="113">
        <v>9815.06</v>
      </c>
      <c r="Z41" s="87" t="str">
        <f t="shared" si="2"/>
        <v>PARANAGUA/MUITOS CAPOES</v>
      </c>
      <c r="AA41" s="87">
        <f>IFERROR(_xlfn.XLOOKUP(Z41,Rotas!C:C,Rotas!D:D),"0")</f>
        <v>581</v>
      </c>
      <c r="AB41" s="88" t="str">
        <f t="shared" si="3"/>
        <v>SUBCONTRATADO</v>
      </c>
      <c r="AC41" s="21" cm="1">
        <f t="array" ref="AC41">IFERROR(
INDEX(
_xlfn._xlws.FILTER(
BWT!$C$1:$C$100,
ISNUMBER(FIND(
SUBSTITUTE(BWT!$C$1:$C$100," ",""),
SUBSTITUTE(SUBSTITUTE(SUBSTITUTE(F41," ",""),"-",""),CHAR(160),"")
))
),
1
),
"")</f>
        <v>0</v>
      </c>
    </row>
    <row r="42" spans="1:29" hidden="1" x14ac:dyDescent="0.3">
      <c r="A42" s="112" t="s">
        <v>364</v>
      </c>
      <c r="B42" s="112" t="s">
        <v>165</v>
      </c>
      <c r="C42" s="112" t="s">
        <v>365</v>
      </c>
      <c r="D42" s="112" t="s">
        <v>366</v>
      </c>
      <c r="E42" s="112" t="s">
        <v>367</v>
      </c>
      <c r="F42" s="112" t="s">
        <v>181</v>
      </c>
      <c r="G42" s="112" t="s">
        <v>182</v>
      </c>
      <c r="H42" s="112" t="s">
        <v>171</v>
      </c>
      <c r="I42" s="112" t="s">
        <v>172</v>
      </c>
      <c r="J42" s="112" t="s">
        <v>183</v>
      </c>
      <c r="K42" s="112" t="s">
        <v>172</v>
      </c>
      <c r="L42" s="112" t="s">
        <v>184</v>
      </c>
      <c r="M42" s="112" t="s">
        <v>176</v>
      </c>
      <c r="N42" s="112" t="s">
        <v>176</v>
      </c>
      <c r="O42" s="112" t="s">
        <v>184</v>
      </c>
      <c r="P42" s="112" t="s">
        <v>184</v>
      </c>
      <c r="Q42" s="112" t="s">
        <v>177</v>
      </c>
      <c r="R42" s="112">
        <v>38094</v>
      </c>
      <c r="S42" s="112">
        <v>58294</v>
      </c>
      <c r="T42" s="113">
        <v>3912.25</v>
      </c>
      <c r="U42" s="113">
        <v>3912.25</v>
      </c>
      <c r="V42" s="113">
        <v>0</v>
      </c>
      <c r="W42" s="113">
        <v>0</v>
      </c>
      <c r="X42" s="112"/>
      <c r="Y42" s="113"/>
      <c r="Z42" s="87" t="str">
        <f t="shared" si="2"/>
        <v>PARANAGUA/LAPA</v>
      </c>
      <c r="AA42" s="87">
        <f>IFERROR(_xlfn.XLOOKUP(Z42,Rotas!C:C,Rotas!D:D),"0")</f>
        <v>153</v>
      </c>
      <c r="AB42" s="88" t="str">
        <f t="shared" si="3"/>
        <v>BWT</v>
      </c>
      <c r="AC42" s="21" t="str" cm="1">
        <f t="array" ref="AC42">IFERROR(
INDEX(
_xlfn._xlws.FILTER(
BWT!$C$1:$C$100,
ISNUMBER(FIND(
SUBSTITUTE(BWT!$C$1:$C$100," ",""),
SUBSTITUTE(SUBSTITUTE(SUBSTITUTE(F42," ",""),"-",""),CHAR(160),"")
))
),
1
),
"")</f>
        <v>BDF9C15</v>
      </c>
    </row>
    <row r="43" spans="1:29" hidden="1" x14ac:dyDescent="0.3">
      <c r="A43" s="112" t="s">
        <v>368</v>
      </c>
      <c r="B43" s="112" t="s">
        <v>165</v>
      </c>
      <c r="C43" s="112" t="s">
        <v>365</v>
      </c>
      <c r="D43" s="112" t="s">
        <v>369</v>
      </c>
      <c r="E43" s="112" t="s">
        <v>370</v>
      </c>
      <c r="F43" s="112" t="s">
        <v>88</v>
      </c>
      <c r="G43" s="112" t="s">
        <v>371</v>
      </c>
      <c r="H43" s="112" t="s">
        <v>171</v>
      </c>
      <c r="I43" s="112" t="s">
        <v>172</v>
      </c>
      <c r="J43" s="112" t="s">
        <v>183</v>
      </c>
      <c r="K43" s="112" t="s">
        <v>172</v>
      </c>
      <c r="L43" s="112" t="s">
        <v>184</v>
      </c>
      <c r="M43" s="112" t="s">
        <v>176</v>
      </c>
      <c r="N43" s="112" t="s">
        <v>176</v>
      </c>
      <c r="O43" s="112" t="s">
        <v>184</v>
      </c>
      <c r="P43" s="112" t="s">
        <v>184</v>
      </c>
      <c r="Q43" s="112" t="s">
        <v>177</v>
      </c>
      <c r="R43" s="112">
        <v>47720</v>
      </c>
      <c r="S43" s="112">
        <v>73880</v>
      </c>
      <c r="T43" s="113">
        <v>4373.54</v>
      </c>
      <c r="U43" s="113">
        <v>4373.54</v>
      </c>
      <c r="V43" s="113">
        <v>0</v>
      </c>
      <c r="W43" s="113">
        <v>0</v>
      </c>
      <c r="X43" s="112"/>
      <c r="Y43" s="113"/>
      <c r="Z43" s="87" t="str">
        <f t="shared" si="2"/>
        <v>PARANAGUA/LAPA</v>
      </c>
      <c r="AA43" s="87">
        <f>IFERROR(_xlfn.XLOOKUP(Z43,Rotas!C:C,Rotas!D:D),"0")</f>
        <v>153</v>
      </c>
      <c r="AB43" s="88" t="str">
        <f t="shared" si="3"/>
        <v>BWT</v>
      </c>
      <c r="AC43" s="21" t="str" cm="1">
        <f t="array" ref="AC43">IFERROR(
INDEX(
_xlfn._xlws.FILTER(
BWT!$C$1:$C$100,
ISNUMBER(FIND(
SUBSTITUTE(BWT!$C$1:$C$100," ",""),
SUBSTITUTE(SUBSTITUTE(SUBSTITUTE(F43," ",""),"-",""),CHAR(160),"")
))
),
1
),
"")</f>
        <v>BDQ4E39</v>
      </c>
    </row>
    <row r="44" spans="1:29" hidden="1" x14ac:dyDescent="0.3">
      <c r="A44" s="112" t="s">
        <v>372</v>
      </c>
      <c r="B44" s="112" t="s">
        <v>165</v>
      </c>
      <c r="C44" s="112" t="s">
        <v>365</v>
      </c>
      <c r="D44" s="112" t="s">
        <v>373</v>
      </c>
      <c r="E44" s="112" t="s">
        <v>374</v>
      </c>
      <c r="F44" s="112" t="s">
        <v>375</v>
      </c>
      <c r="G44" s="112" t="s">
        <v>376</v>
      </c>
      <c r="H44" s="112" t="s">
        <v>171</v>
      </c>
      <c r="I44" s="112" t="s">
        <v>172</v>
      </c>
      <c r="J44" s="112" t="s">
        <v>173</v>
      </c>
      <c r="K44" s="112" t="s">
        <v>174</v>
      </c>
      <c r="L44" s="112" t="s">
        <v>175</v>
      </c>
      <c r="M44" s="112" t="s">
        <v>176</v>
      </c>
      <c r="N44" s="112" t="s">
        <v>176</v>
      </c>
      <c r="O44" s="112" t="s">
        <v>175</v>
      </c>
      <c r="P44" s="112" t="s">
        <v>175</v>
      </c>
      <c r="Q44" s="112" t="s">
        <v>177</v>
      </c>
      <c r="R44" s="112">
        <v>48140</v>
      </c>
      <c r="S44" s="112">
        <v>73860</v>
      </c>
      <c r="T44" s="113">
        <v>10783.36</v>
      </c>
      <c r="U44" s="113">
        <v>9201.86</v>
      </c>
      <c r="V44" s="113">
        <v>326.7</v>
      </c>
      <c r="W44" s="113">
        <v>1254.8</v>
      </c>
      <c r="X44" s="121">
        <v>0.12</v>
      </c>
      <c r="Y44" s="113">
        <v>10456.66</v>
      </c>
      <c r="Z44" s="87" t="str">
        <f t="shared" si="2"/>
        <v>PARANAGUA/IJUI</v>
      </c>
      <c r="AA44" s="87">
        <f>IFERROR(_xlfn.XLOOKUP(Z44,Rotas!C:C,Rotas!D:D),"0")</f>
        <v>800</v>
      </c>
      <c r="AB44" s="88" t="str">
        <f t="shared" si="3"/>
        <v>BWT</v>
      </c>
      <c r="AC44" s="21" t="str" cm="1">
        <f t="array" ref="AC44">IFERROR(
INDEX(
_xlfn._xlws.FILTER(
BWT!$C$1:$C$100,
ISNUMBER(FIND(
SUBSTITUTE(BWT!$C$1:$C$100," ",""),
SUBSTITUTE(SUBSTITUTE(SUBSTITUTE(F44," ",""),"-",""),CHAR(160),"")
))
),
1
),
"")</f>
        <v>BDQ4E23</v>
      </c>
    </row>
    <row r="45" spans="1:29" hidden="1" x14ac:dyDescent="0.3">
      <c r="A45" s="112" t="s">
        <v>430</v>
      </c>
      <c r="B45" s="112" t="s">
        <v>226</v>
      </c>
      <c r="C45" s="112" t="s">
        <v>406</v>
      </c>
      <c r="D45" s="112" t="s">
        <v>431</v>
      </c>
      <c r="E45" s="112" t="s">
        <v>432</v>
      </c>
      <c r="F45" s="112" t="s">
        <v>433</v>
      </c>
      <c r="G45" s="112" t="s">
        <v>434</v>
      </c>
      <c r="H45" s="112" t="s">
        <v>280</v>
      </c>
      <c r="I45" s="112" t="s">
        <v>232</v>
      </c>
      <c r="J45" s="112" t="s">
        <v>281</v>
      </c>
      <c r="K45" s="112" t="s">
        <v>232</v>
      </c>
      <c r="L45" s="112" t="s">
        <v>254</v>
      </c>
      <c r="M45" s="112" t="s">
        <v>254</v>
      </c>
      <c r="N45" s="112" t="s">
        <v>282</v>
      </c>
      <c r="O45" s="112" t="s">
        <v>217</v>
      </c>
      <c r="P45" s="112" t="s">
        <v>217</v>
      </c>
      <c r="Q45" s="112" t="s">
        <v>283</v>
      </c>
      <c r="R45" s="112">
        <v>61128</v>
      </c>
      <c r="S45" s="112">
        <v>44183</v>
      </c>
      <c r="T45" s="113">
        <v>3150.17</v>
      </c>
      <c r="U45" s="113">
        <v>2772.15</v>
      </c>
      <c r="V45" s="113">
        <v>0</v>
      </c>
      <c r="W45" s="113">
        <v>378.02</v>
      </c>
      <c r="X45" s="121">
        <v>0.12</v>
      </c>
      <c r="Y45" s="113">
        <v>3150.17</v>
      </c>
      <c r="Z45" s="87" t="str">
        <f t="shared" si="2"/>
        <v>SANTOS/PAULINIA</v>
      </c>
      <c r="AA45" s="87">
        <f>IFERROR(_xlfn.XLOOKUP(Z45,Rotas!C:C,Rotas!D:D),"0")</f>
        <v>215</v>
      </c>
      <c r="AB45" s="88" t="str">
        <f t="shared" si="3"/>
        <v>BWT</v>
      </c>
      <c r="AC45" s="21" t="str" cm="1">
        <f t="array" ref="AC45">IFERROR(
INDEX(
_xlfn._xlws.FILTER(
BWT!$C$1:$C$100,
ISNUMBER(FIND(
SUBSTITUTE(BWT!$C$1:$C$100," ",""),
SUBSTITUTE(SUBSTITUTE(SUBSTITUTE(F45," ",""),"-",""),CHAR(160),"")
))
),
1
),
"")</f>
        <v>SEE0I05</v>
      </c>
    </row>
    <row r="46" spans="1:29" hidden="1" x14ac:dyDescent="0.3">
      <c r="A46" s="112" t="s">
        <v>435</v>
      </c>
      <c r="B46" s="112" t="s">
        <v>226</v>
      </c>
      <c r="C46" s="112" t="s">
        <v>406</v>
      </c>
      <c r="D46" s="112" t="s">
        <v>436</v>
      </c>
      <c r="E46" s="112" t="s">
        <v>437</v>
      </c>
      <c r="F46" s="112" t="s">
        <v>438</v>
      </c>
      <c r="G46" s="112" t="s">
        <v>439</v>
      </c>
      <c r="H46" s="112" t="s">
        <v>280</v>
      </c>
      <c r="I46" s="112" t="s">
        <v>232</v>
      </c>
      <c r="J46" s="112" t="s">
        <v>281</v>
      </c>
      <c r="K46" s="112" t="s">
        <v>232</v>
      </c>
      <c r="L46" s="112" t="s">
        <v>254</v>
      </c>
      <c r="M46" s="112" t="s">
        <v>254</v>
      </c>
      <c r="N46" s="112" t="s">
        <v>282</v>
      </c>
      <c r="O46" s="112" t="s">
        <v>217</v>
      </c>
      <c r="P46" s="112" t="s">
        <v>217</v>
      </c>
      <c r="Q46" s="112" t="s">
        <v>283</v>
      </c>
      <c r="R46" s="112">
        <v>50358</v>
      </c>
      <c r="S46" s="112">
        <v>36243</v>
      </c>
      <c r="T46" s="113">
        <v>3150.24</v>
      </c>
      <c r="U46" s="113">
        <v>2772.21</v>
      </c>
      <c r="V46" s="113">
        <v>0</v>
      </c>
      <c r="W46" s="113">
        <v>378.03</v>
      </c>
      <c r="X46" s="121">
        <v>0.12</v>
      </c>
      <c r="Y46" s="113">
        <v>3150.24</v>
      </c>
      <c r="Z46" s="87" t="str">
        <f t="shared" si="2"/>
        <v>SANTOS/PAULINIA</v>
      </c>
      <c r="AA46" s="87">
        <f>IFERROR(_xlfn.XLOOKUP(Z46,Rotas!C:C,Rotas!D:D),"0")</f>
        <v>215</v>
      </c>
      <c r="AB46" s="88" t="str">
        <f t="shared" si="3"/>
        <v>BWT</v>
      </c>
      <c r="AC46" s="21" t="str" cm="1">
        <f t="array" ref="AC46">IFERROR(
INDEX(
_xlfn._xlws.FILTER(
BWT!$C$1:$C$100,
ISNUMBER(FIND(
SUBSTITUTE(BWT!$C$1:$C$100," ",""),
SUBSTITUTE(SUBSTITUTE(SUBSTITUTE(F46," ",""),"-",""),CHAR(160),"")
))
),
1
),
"")</f>
        <v>SFC5F45</v>
      </c>
    </row>
    <row r="47" spans="1:29" hidden="1" x14ac:dyDescent="0.3">
      <c r="A47" s="112" t="s">
        <v>440</v>
      </c>
      <c r="B47" s="112" t="s">
        <v>226</v>
      </c>
      <c r="C47" s="112" t="s">
        <v>406</v>
      </c>
      <c r="D47" s="112" t="s">
        <v>441</v>
      </c>
      <c r="E47" s="112" t="s">
        <v>442</v>
      </c>
      <c r="F47" s="112" t="s">
        <v>443</v>
      </c>
      <c r="G47" s="112" t="s">
        <v>444</v>
      </c>
      <c r="H47" s="112" t="s">
        <v>280</v>
      </c>
      <c r="I47" s="112" t="s">
        <v>232</v>
      </c>
      <c r="J47" s="112" t="s">
        <v>281</v>
      </c>
      <c r="K47" s="112" t="s">
        <v>232</v>
      </c>
      <c r="L47" s="112" t="s">
        <v>254</v>
      </c>
      <c r="M47" s="112" t="s">
        <v>254</v>
      </c>
      <c r="N47" s="112" t="s">
        <v>282</v>
      </c>
      <c r="O47" s="112" t="s">
        <v>217</v>
      </c>
      <c r="P47" s="112" t="s">
        <v>217</v>
      </c>
      <c r="Q47" s="112" t="s">
        <v>283</v>
      </c>
      <c r="R47" s="112">
        <v>63239</v>
      </c>
      <c r="S47" s="112">
        <v>45987</v>
      </c>
      <c r="T47" s="113">
        <v>3149.74</v>
      </c>
      <c r="U47" s="113">
        <v>2771.77</v>
      </c>
      <c r="V47" s="113">
        <v>0</v>
      </c>
      <c r="W47" s="113">
        <v>377.97</v>
      </c>
      <c r="X47" s="121">
        <v>0.12</v>
      </c>
      <c r="Y47" s="113">
        <v>3149.74</v>
      </c>
      <c r="Z47" s="87" t="str">
        <f t="shared" si="2"/>
        <v>SANTOS/PAULINIA</v>
      </c>
      <c r="AA47" s="87">
        <f>IFERROR(_xlfn.XLOOKUP(Z47,Rotas!C:C,Rotas!D:D),"0")</f>
        <v>215</v>
      </c>
      <c r="AB47" s="88" t="str">
        <f t="shared" si="3"/>
        <v>BWT</v>
      </c>
      <c r="AC47" s="21" t="str" cm="1">
        <f t="array" ref="AC47">IFERROR(
INDEX(
_xlfn._xlws.FILTER(
BWT!$C$1:$C$100,
ISNUMBER(FIND(
SUBSTITUTE(BWT!$C$1:$C$100," ",""),
SUBSTITUTE(SUBSTITUTE(SUBSTITUTE(F47," ",""),"-",""),CHAR(160),"")
))
),
1
),
"")</f>
        <v>SFA7F70</v>
      </c>
    </row>
    <row r="48" spans="1:29" hidden="1" x14ac:dyDescent="0.3">
      <c r="A48" s="112" t="s">
        <v>445</v>
      </c>
      <c r="B48" s="112" t="s">
        <v>226</v>
      </c>
      <c r="C48" s="112" t="s">
        <v>406</v>
      </c>
      <c r="D48" s="112" t="s">
        <v>446</v>
      </c>
      <c r="E48" s="112" t="s">
        <v>447</v>
      </c>
      <c r="F48" s="112" t="s">
        <v>448</v>
      </c>
      <c r="G48" s="112" t="s">
        <v>449</v>
      </c>
      <c r="H48" s="112" t="s">
        <v>280</v>
      </c>
      <c r="I48" s="112" t="s">
        <v>232</v>
      </c>
      <c r="J48" s="112" t="s">
        <v>281</v>
      </c>
      <c r="K48" s="112" t="s">
        <v>232</v>
      </c>
      <c r="L48" s="112" t="s">
        <v>254</v>
      </c>
      <c r="M48" s="112" t="s">
        <v>254</v>
      </c>
      <c r="N48" s="112" t="s">
        <v>282</v>
      </c>
      <c r="O48" s="112" t="s">
        <v>217</v>
      </c>
      <c r="P48" s="112" t="s">
        <v>217</v>
      </c>
      <c r="Q48" s="112" t="s">
        <v>283</v>
      </c>
      <c r="R48" s="112">
        <v>63054</v>
      </c>
      <c r="S48" s="112">
        <v>46156</v>
      </c>
      <c r="T48" s="113">
        <v>3149.83</v>
      </c>
      <c r="U48" s="113">
        <v>2771.85</v>
      </c>
      <c r="V48" s="113">
        <v>0</v>
      </c>
      <c r="W48" s="113">
        <v>377.98</v>
      </c>
      <c r="X48" s="121">
        <v>0.12</v>
      </c>
      <c r="Y48" s="113">
        <v>3149.83</v>
      </c>
      <c r="Z48" s="87" t="str">
        <f t="shared" si="2"/>
        <v>SANTOS/PAULINIA</v>
      </c>
      <c r="AA48" s="87">
        <f>IFERROR(_xlfn.XLOOKUP(Z48,Rotas!C:C,Rotas!D:D),"0")</f>
        <v>215</v>
      </c>
      <c r="AB48" s="88" t="str">
        <f t="shared" si="3"/>
        <v>BWT</v>
      </c>
      <c r="AC48" s="21" t="str" cm="1">
        <f t="array" ref="AC48">IFERROR(
INDEX(
_xlfn._xlws.FILTER(
BWT!$C$1:$C$100,
ISNUMBER(FIND(
SUBSTITUTE(BWT!$C$1:$C$100," ",""),
SUBSTITUTE(SUBSTITUTE(SUBSTITUTE(F48," ",""),"-",""),CHAR(160),"")
))
),
1
),
"")</f>
        <v>TAW8B84</v>
      </c>
    </row>
    <row r="49" spans="1:29" hidden="1" x14ac:dyDescent="0.3">
      <c r="A49" s="112" t="s">
        <v>450</v>
      </c>
      <c r="B49" s="112" t="s">
        <v>226</v>
      </c>
      <c r="C49" s="112" t="s">
        <v>406</v>
      </c>
      <c r="D49" s="112" t="s">
        <v>237</v>
      </c>
      <c r="E49" s="112" t="s">
        <v>451</v>
      </c>
      <c r="F49" s="112" t="s">
        <v>188</v>
      </c>
      <c r="G49" s="112" t="s">
        <v>189</v>
      </c>
      <c r="H49" s="112" t="s">
        <v>280</v>
      </c>
      <c r="I49" s="112" t="s">
        <v>232</v>
      </c>
      <c r="J49" s="112" t="s">
        <v>281</v>
      </c>
      <c r="K49" s="112" t="s">
        <v>232</v>
      </c>
      <c r="L49" s="112" t="s">
        <v>254</v>
      </c>
      <c r="M49" s="112" t="s">
        <v>254</v>
      </c>
      <c r="N49" s="112" t="s">
        <v>452</v>
      </c>
      <c r="O49" s="112" t="s">
        <v>217</v>
      </c>
      <c r="P49" s="112" t="s">
        <v>217</v>
      </c>
      <c r="Q49" s="112" t="s">
        <v>283</v>
      </c>
      <c r="R49" s="112">
        <v>58465</v>
      </c>
      <c r="S49" s="112">
        <v>48450</v>
      </c>
      <c r="T49" s="113">
        <v>3149.81</v>
      </c>
      <c r="U49" s="113">
        <v>2771.83</v>
      </c>
      <c r="V49" s="113">
        <v>0</v>
      </c>
      <c r="W49" s="113">
        <v>377.98</v>
      </c>
      <c r="X49" s="121">
        <v>0.12</v>
      </c>
      <c r="Y49" s="113">
        <v>3149.81</v>
      </c>
      <c r="Z49" s="87" t="str">
        <f t="shared" si="2"/>
        <v>SANTOS/PAULINIA</v>
      </c>
      <c r="AA49" s="87">
        <f>IFERROR(_xlfn.XLOOKUP(Z49,Rotas!C:C,Rotas!D:D),"0")</f>
        <v>215</v>
      </c>
      <c r="AB49" s="88" t="str">
        <f t="shared" si="3"/>
        <v>BWT</v>
      </c>
      <c r="AC49" s="21" t="str" cm="1">
        <f t="array" ref="AC49">IFERROR(
INDEX(
_xlfn._xlws.FILTER(
BWT!$C$1:$C$100,
ISNUMBER(FIND(
SUBSTITUTE(BWT!$C$1:$C$100," ",""),
SUBSTITUTE(SUBSTITUTE(SUBSTITUTE(F49," ",""),"-",""),CHAR(160),"")
))
),
1
),
"")</f>
        <v>BDQ4E29</v>
      </c>
    </row>
    <row r="50" spans="1:29" hidden="1" x14ac:dyDescent="0.3">
      <c r="A50" s="112" t="s">
        <v>453</v>
      </c>
      <c r="B50" s="112" t="s">
        <v>226</v>
      </c>
      <c r="C50" s="112" t="s">
        <v>406</v>
      </c>
      <c r="D50" s="112" t="s">
        <v>249</v>
      </c>
      <c r="E50" s="112" t="s">
        <v>454</v>
      </c>
      <c r="F50" s="112" t="s">
        <v>287</v>
      </c>
      <c r="G50" s="112" t="s">
        <v>288</v>
      </c>
      <c r="H50" s="112" t="s">
        <v>280</v>
      </c>
      <c r="I50" s="112" t="s">
        <v>232</v>
      </c>
      <c r="J50" s="112" t="s">
        <v>281</v>
      </c>
      <c r="K50" s="112" t="s">
        <v>232</v>
      </c>
      <c r="L50" s="112" t="s">
        <v>254</v>
      </c>
      <c r="M50" s="112" t="s">
        <v>254</v>
      </c>
      <c r="N50" s="112" t="s">
        <v>282</v>
      </c>
      <c r="O50" s="112" t="s">
        <v>217</v>
      </c>
      <c r="P50" s="112" t="s">
        <v>217</v>
      </c>
      <c r="Q50" s="112" t="s">
        <v>283</v>
      </c>
      <c r="R50" s="112">
        <v>62936</v>
      </c>
      <c r="S50" s="112">
        <v>44049</v>
      </c>
      <c r="T50" s="113">
        <v>3149.66</v>
      </c>
      <c r="U50" s="113">
        <v>2771.7</v>
      </c>
      <c r="V50" s="113">
        <v>0</v>
      </c>
      <c r="W50" s="113">
        <v>377.96</v>
      </c>
      <c r="X50" s="121">
        <v>0.12</v>
      </c>
      <c r="Y50" s="113">
        <v>3149.66</v>
      </c>
      <c r="Z50" s="87" t="str">
        <f t="shared" si="2"/>
        <v>SANTOS/PAULINIA</v>
      </c>
      <c r="AA50" s="87">
        <f>IFERROR(_xlfn.XLOOKUP(Z50,Rotas!C:C,Rotas!D:D),"0")</f>
        <v>215</v>
      </c>
      <c r="AB50" s="88" t="str">
        <f t="shared" si="3"/>
        <v>BWT</v>
      </c>
      <c r="AC50" s="21" t="str" cm="1">
        <f t="array" ref="AC50">IFERROR(
INDEX(
_xlfn._xlws.FILTER(
BWT!$C$1:$C$100,
ISNUMBER(FIND(
SUBSTITUTE(BWT!$C$1:$C$100," ",""),
SUBSTITUTE(SUBSTITUTE(SUBSTITUTE(F50," ",""),"-",""),CHAR(160),"")
))
),
1
),
"")</f>
        <v>SEE2J92</v>
      </c>
    </row>
    <row r="51" spans="1:29" hidden="1" x14ac:dyDescent="0.3">
      <c r="A51" s="112" t="s">
        <v>455</v>
      </c>
      <c r="B51" s="112" t="s">
        <v>226</v>
      </c>
      <c r="C51" s="112" t="s">
        <v>406</v>
      </c>
      <c r="D51" s="112" t="s">
        <v>456</v>
      </c>
      <c r="E51" s="112" t="s">
        <v>457</v>
      </c>
      <c r="F51" s="112" t="s">
        <v>278</v>
      </c>
      <c r="G51" s="112" t="s">
        <v>279</v>
      </c>
      <c r="H51" s="112" t="s">
        <v>280</v>
      </c>
      <c r="I51" s="112" t="s">
        <v>232</v>
      </c>
      <c r="J51" s="112" t="s">
        <v>281</v>
      </c>
      <c r="K51" s="112" t="s">
        <v>232</v>
      </c>
      <c r="L51" s="112" t="s">
        <v>254</v>
      </c>
      <c r="M51" s="112" t="s">
        <v>254</v>
      </c>
      <c r="N51" s="112" t="s">
        <v>282</v>
      </c>
      <c r="O51" s="112" t="s">
        <v>217</v>
      </c>
      <c r="P51" s="112" t="s">
        <v>217</v>
      </c>
      <c r="Q51" s="112" t="s">
        <v>283</v>
      </c>
      <c r="R51" s="112">
        <v>63289</v>
      </c>
      <c r="S51" s="112">
        <v>45429</v>
      </c>
      <c r="T51" s="113">
        <v>3150.07</v>
      </c>
      <c r="U51" s="113">
        <v>2772.06</v>
      </c>
      <c r="V51" s="113">
        <v>0</v>
      </c>
      <c r="W51" s="113">
        <v>378.01</v>
      </c>
      <c r="X51" s="121">
        <v>0.12</v>
      </c>
      <c r="Y51" s="113">
        <v>3150.07</v>
      </c>
      <c r="Z51" s="87" t="str">
        <f t="shared" si="2"/>
        <v>SANTOS/PAULINIA</v>
      </c>
      <c r="AA51" s="87">
        <f>IFERROR(_xlfn.XLOOKUP(Z51,Rotas!C:C,Rotas!D:D),"0")</f>
        <v>215</v>
      </c>
      <c r="AB51" s="88" t="str">
        <f t="shared" si="3"/>
        <v>BWT</v>
      </c>
      <c r="AC51" s="21" t="str" cm="1">
        <f t="array" ref="AC51">IFERROR(
INDEX(
_xlfn._xlws.FILTER(
BWT!$C$1:$C$100,
ISNUMBER(FIND(
SUBSTITUTE(BWT!$C$1:$C$100," ",""),
SUBSTITUTE(SUBSTITUTE(SUBSTITUTE(F51," ",""),"-",""),CHAR(160),"")
))
),
1
),
"")</f>
        <v>TAW8C01</v>
      </c>
    </row>
    <row r="52" spans="1:29" hidden="1" x14ac:dyDescent="0.3">
      <c r="A52" s="112" t="s">
        <v>458</v>
      </c>
      <c r="B52" s="112" t="s">
        <v>165</v>
      </c>
      <c r="C52" s="112" t="s">
        <v>406</v>
      </c>
      <c r="D52" s="112" t="s">
        <v>459</v>
      </c>
      <c r="E52" s="112" t="s">
        <v>460</v>
      </c>
      <c r="F52" s="112" t="s">
        <v>461</v>
      </c>
      <c r="G52" s="112" t="s">
        <v>462</v>
      </c>
      <c r="H52" s="112" t="s">
        <v>324</v>
      </c>
      <c r="I52" s="112" t="s">
        <v>172</v>
      </c>
      <c r="J52" s="112" t="s">
        <v>233</v>
      </c>
      <c r="K52" s="112" t="s">
        <v>172</v>
      </c>
      <c r="L52" s="112" t="s">
        <v>217</v>
      </c>
      <c r="M52" s="112" t="s">
        <v>325</v>
      </c>
      <c r="N52" s="112" t="s">
        <v>325</v>
      </c>
      <c r="O52" s="112" t="s">
        <v>217</v>
      </c>
      <c r="P52" s="112" t="s">
        <v>217</v>
      </c>
      <c r="Q52" s="112" t="s">
        <v>219</v>
      </c>
      <c r="R52" s="112">
        <v>59538</v>
      </c>
      <c r="S52" s="112">
        <v>47000</v>
      </c>
      <c r="T52" s="113">
        <v>6439.03</v>
      </c>
      <c r="U52" s="113">
        <v>6439.03</v>
      </c>
      <c r="V52" s="113">
        <v>0</v>
      </c>
      <c r="W52" s="113">
        <v>0</v>
      </c>
      <c r="X52" s="112"/>
      <c r="Y52" s="113"/>
      <c r="Z52" s="87" t="str">
        <f t="shared" si="2"/>
        <v>SAO CARLOS DO IVAI/ARAUCARIA</v>
      </c>
      <c r="AA52" s="87">
        <f>IFERROR(_xlfn.XLOOKUP(Z52,Rotas!C:C,Rotas!D:D),"0")</f>
        <v>491</v>
      </c>
      <c r="AB52" s="88" t="str">
        <f t="shared" si="3"/>
        <v>BWT</v>
      </c>
      <c r="AC52" s="21" t="str" cm="1">
        <f t="array" ref="AC52">IFERROR(
INDEX(
_xlfn._xlws.FILTER(
BWT!$C$1:$C$100,
ISNUMBER(FIND(
SUBSTITUTE(BWT!$C$1:$C$100," ",""),
SUBSTITUTE(SUBSTITUTE(SUBSTITUTE(F52," ",""),"-",""),CHAR(160),"")
))
),
1
),
"")</f>
        <v>RHH5D97</v>
      </c>
    </row>
    <row r="53" spans="1:29" hidden="1" x14ac:dyDescent="0.3">
      <c r="A53" s="112" t="s">
        <v>463</v>
      </c>
      <c r="B53" s="112" t="s">
        <v>165</v>
      </c>
      <c r="C53" s="112" t="s">
        <v>406</v>
      </c>
      <c r="D53" s="112" t="s">
        <v>464</v>
      </c>
      <c r="E53" s="112" t="s">
        <v>465</v>
      </c>
      <c r="F53" s="112" t="s">
        <v>466</v>
      </c>
      <c r="G53" s="112" t="s">
        <v>467</v>
      </c>
      <c r="H53" s="112" t="s">
        <v>324</v>
      </c>
      <c r="I53" s="112" t="s">
        <v>172</v>
      </c>
      <c r="J53" s="112" t="s">
        <v>233</v>
      </c>
      <c r="K53" s="112" t="s">
        <v>172</v>
      </c>
      <c r="L53" s="112" t="s">
        <v>217</v>
      </c>
      <c r="M53" s="112" t="s">
        <v>325</v>
      </c>
      <c r="N53" s="112" t="s">
        <v>325</v>
      </c>
      <c r="O53" s="112" t="s">
        <v>217</v>
      </c>
      <c r="P53" s="112" t="s">
        <v>217</v>
      </c>
      <c r="Q53" s="112" t="s">
        <v>219</v>
      </c>
      <c r="R53" s="112">
        <v>59472</v>
      </c>
      <c r="S53" s="112">
        <v>46940</v>
      </c>
      <c r="T53" s="113">
        <v>6431.9</v>
      </c>
      <c r="U53" s="113">
        <v>6431.9</v>
      </c>
      <c r="V53" s="113">
        <v>0</v>
      </c>
      <c r="W53" s="113">
        <v>0</v>
      </c>
      <c r="X53" s="112"/>
      <c r="Y53" s="113"/>
      <c r="Z53" s="87" t="str">
        <f t="shared" si="2"/>
        <v>SAO CARLOS DO IVAI/ARAUCARIA</v>
      </c>
      <c r="AA53" s="87">
        <f>IFERROR(_xlfn.XLOOKUP(Z53,Rotas!C:C,Rotas!D:D),"0")</f>
        <v>491</v>
      </c>
      <c r="AB53" s="88" t="str">
        <f t="shared" si="3"/>
        <v>BWT</v>
      </c>
      <c r="AC53" s="21" t="str" cm="1">
        <f t="array" ref="AC53">IFERROR(
INDEX(
_xlfn._xlws.FILTER(
BWT!$C$1:$C$100,
ISNUMBER(FIND(
SUBSTITUTE(BWT!$C$1:$C$100," ",""),
SUBSTITUTE(SUBSTITUTE(SUBSTITUTE(F53," ",""),"-",""),CHAR(160),"")
))
),
1
),
"")</f>
        <v>BDQ4E18</v>
      </c>
    </row>
    <row r="54" spans="1:29" hidden="1" x14ac:dyDescent="0.3">
      <c r="A54" s="112" t="s">
        <v>421</v>
      </c>
      <c r="B54" s="112" t="s">
        <v>165</v>
      </c>
      <c r="C54" s="112" t="s">
        <v>406</v>
      </c>
      <c r="D54" s="112" t="s">
        <v>422</v>
      </c>
      <c r="E54" s="112" t="s">
        <v>423</v>
      </c>
      <c r="F54" s="112" t="s">
        <v>424</v>
      </c>
      <c r="G54" s="112" t="s">
        <v>425</v>
      </c>
      <c r="H54" s="112" t="s">
        <v>171</v>
      </c>
      <c r="I54" s="112" t="s">
        <v>172</v>
      </c>
      <c r="J54" s="112" t="s">
        <v>426</v>
      </c>
      <c r="K54" s="112" t="s">
        <v>243</v>
      </c>
      <c r="L54" s="112" t="s">
        <v>274</v>
      </c>
      <c r="M54" s="112" t="s">
        <v>274</v>
      </c>
      <c r="N54" s="112" t="s">
        <v>427</v>
      </c>
      <c r="O54" s="112" t="s">
        <v>428</v>
      </c>
      <c r="P54" s="112" t="s">
        <v>428</v>
      </c>
      <c r="Q54" s="112" t="s">
        <v>429</v>
      </c>
      <c r="R54" s="112">
        <v>45000</v>
      </c>
      <c r="S54" s="112">
        <v>45000</v>
      </c>
      <c r="T54" s="113">
        <v>6496.65</v>
      </c>
      <c r="U54" s="113">
        <v>5108.8</v>
      </c>
      <c r="V54" s="113">
        <v>691.2</v>
      </c>
      <c r="W54" s="113">
        <v>696.65</v>
      </c>
      <c r="X54" s="121">
        <v>0.12</v>
      </c>
      <c r="Y54" s="113">
        <v>5805.45</v>
      </c>
      <c r="Z54" s="87" t="str">
        <f t="shared" si="2"/>
        <v>PARANAGUA/MAFRA</v>
      </c>
      <c r="AA54" s="87">
        <f>IFERROR(_xlfn.XLOOKUP(Z54,Rotas!C:C,Rotas!D:D),"0")</f>
        <v>195</v>
      </c>
      <c r="AB54" s="88" t="str">
        <f t="shared" si="3"/>
        <v>BWT</v>
      </c>
      <c r="AC54" s="21" t="str" cm="1">
        <f t="array" ref="AC54">IFERROR(
INDEX(
_xlfn._xlws.FILTER(
BWT!$C$1:$C$100,
ISNUMBER(FIND(
SUBSTITUTE(BWT!$C$1:$C$100," ",""),
SUBSTITUTE(SUBSTITUTE(SUBSTITUTE(F54," ",""),"-",""),CHAR(160),"")
))
),
1
),
"")</f>
        <v>SEE0I16</v>
      </c>
    </row>
    <row r="55" spans="1:29" hidden="1" x14ac:dyDescent="0.3">
      <c r="A55" s="112" t="s">
        <v>483</v>
      </c>
      <c r="B55" s="112" t="s">
        <v>165</v>
      </c>
      <c r="C55" s="112" t="s">
        <v>406</v>
      </c>
      <c r="D55" s="112" t="s">
        <v>484</v>
      </c>
      <c r="E55" s="112" t="s">
        <v>485</v>
      </c>
      <c r="F55" s="112" t="s">
        <v>486</v>
      </c>
      <c r="G55" s="112" t="s">
        <v>487</v>
      </c>
      <c r="H55" s="112" t="s">
        <v>171</v>
      </c>
      <c r="I55" s="112" t="s">
        <v>172</v>
      </c>
      <c r="J55" s="112" t="s">
        <v>1747</v>
      </c>
      <c r="K55" s="112" t="s">
        <v>172</v>
      </c>
      <c r="L55" s="112" t="s">
        <v>244</v>
      </c>
      <c r="M55" s="112" t="s">
        <v>244</v>
      </c>
      <c r="N55" s="112" t="s">
        <v>176</v>
      </c>
      <c r="O55" s="112" t="s">
        <v>217</v>
      </c>
      <c r="P55" s="112" t="s">
        <v>217</v>
      </c>
      <c r="Q55" s="112" t="s">
        <v>488</v>
      </c>
      <c r="R55" s="112">
        <v>58233</v>
      </c>
      <c r="S55" s="112">
        <v>47850</v>
      </c>
      <c r="T55" s="113">
        <v>14907.65</v>
      </c>
      <c r="U55" s="113">
        <v>14907.65</v>
      </c>
      <c r="V55" s="113">
        <v>0</v>
      </c>
      <c r="W55" s="113">
        <v>0</v>
      </c>
      <c r="X55" s="112"/>
      <c r="Y55" s="113"/>
      <c r="Z55" s="87" t="str">
        <f t="shared" si="2"/>
        <v>PARANAGUA/SARANDI-PR</v>
      </c>
      <c r="AA55" s="87">
        <f>IFERROR(_xlfn.XLOOKUP(Z55,Rotas!C:C,Rotas!D:D),"0")</f>
        <v>518</v>
      </c>
      <c r="AB55" s="88" t="str">
        <f t="shared" si="3"/>
        <v>BWT</v>
      </c>
      <c r="AC55" s="21" t="str" cm="1">
        <f t="array" ref="AC55">IFERROR(
INDEX(
_xlfn._xlws.FILTER(
BWT!$C$1:$C$100,
ISNUMBER(FIND(
SUBSTITUTE(BWT!$C$1:$C$100," ",""),
SUBSTITUTE(SUBSTITUTE(SUBSTITUTE(F55," ",""),"-",""),CHAR(160),"")
))
),
1
),
"")</f>
        <v>BDQ4E32</v>
      </c>
    </row>
    <row r="56" spans="1:29" hidden="1" x14ac:dyDescent="0.3">
      <c r="A56" s="112" t="s">
        <v>489</v>
      </c>
      <c r="B56" s="112" t="s">
        <v>165</v>
      </c>
      <c r="C56" s="112" t="s">
        <v>406</v>
      </c>
      <c r="D56" s="112" t="s">
        <v>490</v>
      </c>
      <c r="E56" s="112" t="s">
        <v>491</v>
      </c>
      <c r="F56" s="112" t="s">
        <v>492</v>
      </c>
      <c r="G56" s="112" t="s">
        <v>493</v>
      </c>
      <c r="H56" s="112" t="s">
        <v>171</v>
      </c>
      <c r="I56" s="112" t="s">
        <v>172</v>
      </c>
      <c r="J56" s="112" t="s">
        <v>1747</v>
      </c>
      <c r="K56" s="112" t="s">
        <v>172</v>
      </c>
      <c r="L56" s="112" t="s">
        <v>244</v>
      </c>
      <c r="M56" s="112" t="s">
        <v>244</v>
      </c>
      <c r="N56" s="112" t="s">
        <v>176</v>
      </c>
      <c r="O56" s="112" t="s">
        <v>217</v>
      </c>
      <c r="P56" s="112" t="s">
        <v>217</v>
      </c>
      <c r="Q56" s="112" t="s">
        <v>488</v>
      </c>
      <c r="R56" s="112">
        <v>58264</v>
      </c>
      <c r="S56" s="112">
        <v>47876</v>
      </c>
      <c r="T56" s="113">
        <v>14915.58</v>
      </c>
      <c r="U56" s="113">
        <v>14915.58</v>
      </c>
      <c r="V56" s="113">
        <v>0</v>
      </c>
      <c r="W56" s="113">
        <v>0</v>
      </c>
      <c r="X56" s="112"/>
      <c r="Y56" s="113"/>
      <c r="Z56" s="87" t="str">
        <f t="shared" si="2"/>
        <v>PARANAGUA/SARANDI-PR</v>
      </c>
      <c r="AA56" s="87">
        <f>IFERROR(_xlfn.XLOOKUP(Z56,Rotas!C:C,Rotas!D:D),"0")</f>
        <v>518</v>
      </c>
      <c r="AB56" s="88" t="str">
        <f t="shared" si="3"/>
        <v>BWT</v>
      </c>
      <c r="AC56" s="21" t="str" cm="1">
        <f t="array" ref="AC56">IFERROR(
INDEX(
_xlfn._xlws.FILTER(
BWT!$C$1:$C$100,
ISNUMBER(FIND(
SUBSTITUTE(BWT!$C$1:$C$100," ",""),
SUBSTITUTE(SUBSTITUTE(SUBSTITUTE(F56," ",""),"-",""),CHAR(160),"")
))
),
1
),
"")</f>
        <v>TAW8B80</v>
      </c>
    </row>
    <row r="57" spans="1:29" hidden="1" x14ac:dyDescent="0.3">
      <c r="A57" s="112" t="s">
        <v>405</v>
      </c>
      <c r="B57" s="112" t="s">
        <v>165</v>
      </c>
      <c r="C57" s="112" t="s">
        <v>406</v>
      </c>
      <c r="D57" s="112" t="s">
        <v>407</v>
      </c>
      <c r="E57" s="112" t="s">
        <v>408</v>
      </c>
      <c r="F57" s="112" t="s">
        <v>181</v>
      </c>
      <c r="G57" s="112" t="s">
        <v>182</v>
      </c>
      <c r="H57" s="112" t="s">
        <v>171</v>
      </c>
      <c r="I57" s="112" t="s">
        <v>172</v>
      </c>
      <c r="J57" s="112" t="s">
        <v>183</v>
      </c>
      <c r="K57" s="112" t="s">
        <v>172</v>
      </c>
      <c r="L57" s="112" t="s">
        <v>184</v>
      </c>
      <c r="M57" s="112" t="s">
        <v>176</v>
      </c>
      <c r="N57" s="112" t="s">
        <v>176</v>
      </c>
      <c r="O57" s="112" t="s">
        <v>184</v>
      </c>
      <c r="P57" s="112" t="s">
        <v>184</v>
      </c>
      <c r="Q57" s="112" t="s">
        <v>177</v>
      </c>
      <c r="R57" s="112">
        <v>38280</v>
      </c>
      <c r="S57" s="112">
        <v>58360</v>
      </c>
      <c r="T57" s="113">
        <v>3931.36</v>
      </c>
      <c r="U57" s="113">
        <v>3931.36</v>
      </c>
      <c r="V57" s="113">
        <v>0</v>
      </c>
      <c r="W57" s="113">
        <v>0</v>
      </c>
      <c r="X57" s="112"/>
      <c r="Y57" s="113"/>
      <c r="Z57" s="87" t="str">
        <f t="shared" si="2"/>
        <v>PARANAGUA/LAPA</v>
      </c>
      <c r="AA57" s="87">
        <f>IFERROR(_xlfn.XLOOKUP(Z57,Rotas!C:C,Rotas!D:D),"0")</f>
        <v>153</v>
      </c>
      <c r="AB57" s="88" t="str">
        <f t="shared" si="3"/>
        <v>BWT</v>
      </c>
      <c r="AC57" s="21" t="str" cm="1">
        <f t="array" ref="AC57">IFERROR(
INDEX(
_xlfn._xlws.FILTER(
BWT!$C$1:$C$100,
ISNUMBER(FIND(
SUBSTITUTE(BWT!$C$1:$C$100," ",""),
SUBSTITUTE(SUBSTITUTE(SUBSTITUTE(F57," ",""),"-",""),CHAR(160),"")
))
),
1
),
"")</f>
        <v>BDF9C15</v>
      </c>
    </row>
    <row r="58" spans="1:29" hidden="1" x14ac:dyDescent="0.3">
      <c r="A58" s="112" t="s">
        <v>409</v>
      </c>
      <c r="B58" s="112" t="s">
        <v>165</v>
      </c>
      <c r="C58" s="112" t="s">
        <v>406</v>
      </c>
      <c r="D58" s="112" t="s">
        <v>410</v>
      </c>
      <c r="E58" s="112" t="s">
        <v>411</v>
      </c>
      <c r="F58" s="112" t="s">
        <v>208</v>
      </c>
      <c r="G58" s="112" t="s">
        <v>209</v>
      </c>
      <c r="H58" s="112" t="s">
        <v>171</v>
      </c>
      <c r="I58" s="112" t="s">
        <v>172</v>
      </c>
      <c r="J58" s="112" t="s">
        <v>183</v>
      </c>
      <c r="K58" s="112" t="s">
        <v>172</v>
      </c>
      <c r="L58" s="112" t="s">
        <v>184</v>
      </c>
      <c r="M58" s="112" t="s">
        <v>176</v>
      </c>
      <c r="N58" s="112" t="s">
        <v>176</v>
      </c>
      <c r="O58" s="112" t="s">
        <v>184</v>
      </c>
      <c r="P58" s="112" t="s">
        <v>184</v>
      </c>
      <c r="Q58" s="112" t="s">
        <v>177</v>
      </c>
      <c r="R58" s="112">
        <v>39020</v>
      </c>
      <c r="S58" s="112">
        <v>58340</v>
      </c>
      <c r="T58" s="113">
        <v>4007.35</v>
      </c>
      <c r="U58" s="113">
        <v>4007.35</v>
      </c>
      <c r="V58" s="113">
        <v>0</v>
      </c>
      <c r="W58" s="113">
        <v>0</v>
      </c>
      <c r="X58" s="112"/>
      <c r="Y58" s="113"/>
      <c r="Z58" s="87" t="str">
        <f t="shared" si="2"/>
        <v>PARANAGUA/LAPA</v>
      </c>
      <c r="AA58" s="87">
        <f>IFERROR(_xlfn.XLOOKUP(Z58,Rotas!C:C,Rotas!D:D),"0")</f>
        <v>153</v>
      </c>
      <c r="AB58" s="88" t="str">
        <f t="shared" si="3"/>
        <v>BWT</v>
      </c>
      <c r="AC58" s="21" t="str" cm="1">
        <f t="array" ref="AC58">IFERROR(
INDEX(
_xlfn._xlws.FILTER(
BWT!$C$1:$C$100,
ISNUMBER(FIND(
SUBSTITUTE(BWT!$C$1:$C$100," ",""),
SUBSTITUTE(SUBSTITUTE(SUBSTITUTE(F58," ",""),"-",""),CHAR(160),"")
))
),
1
),
"")</f>
        <v>AWZ2403</v>
      </c>
    </row>
    <row r="59" spans="1:29" x14ac:dyDescent="0.3">
      <c r="A59" s="112" t="s">
        <v>468</v>
      </c>
      <c r="B59" s="112" t="s">
        <v>469</v>
      </c>
      <c r="C59" s="112" t="s">
        <v>406</v>
      </c>
      <c r="D59" s="112" t="s">
        <v>470</v>
      </c>
      <c r="E59" s="112" t="s">
        <v>471</v>
      </c>
      <c r="F59" s="112" t="s">
        <v>472</v>
      </c>
      <c r="G59" s="112" t="s">
        <v>473</v>
      </c>
      <c r="H59" s="112" t="s">
        <v>474</v>
      </c>
      <c r="I59" s="112" t="s">
        <v>243</v>
      </c>
      <c r="J59" s="112" t="s">
        <v>475</v>
      </c>
      <c r="K59" s="112" t="s">
        <v>232</v>
      </c>
      <c r="L59" s="112" t="s">
        <v>476</v>
      </c>
      <c r="M59" s="112" t="s">
        <v>477</v>
      </c>
      <c r="N59" s="112" t="s">
        <v>477</v>
      </c>
      <c r="O59" s="112" t="s">
        <v>476</v>
      </c>
      <c r="P59" s="112" t="s">
        <v>476</v>
      </c>
      <c r="Q59" s="112" t="s">
        <v>246</v>
      </c>
      <c r="R59" s="112">
        <v>59591</v>
      </c>
      <c r="S59" s="112">
        <v>52360</v>
      </c>
      <c r="T59" s="113">
        <v>20992.28</v>
      </c>
      <c r="U59" s="113">
        <v>18473.21</v>
      </c>
      <c r="V59" s="113">
        <v>0</v>
      </c>
      <c r="W59" s="113">
        <v>2519.0700000000002</v>
      </c>
      <c r="X59" s="121">
        <v>0.12</v>
      </c>
      <c r="Y59" s="113">
        <v>20992.28</v>
      </c>
      <c r="Z59" s="87" t="str">
        <f t="shared" si="2"/>
        <v>JOACABA/CUBATAO</v>
      </c>
      <c r="AA59" s="87">
        <f>IFERROR(_xlfn.XLOOKUP(Z59,Rotas!C:C,Rotas!D:D),"0")</f>
        <v>782</v>
      </c>
      <c r="AB59" s="88" t="str">
        <f t="shared" si="3"/>
        <v>BWT</v>
      </c>
      <c r="AC59" s="21" t="str" cm="1">
        <f t="array" ref="AC59">IFERROR(
INDEX(
_xlfn._xlws.FILTER(
BWT!$C$1:$C$100,
ISNUMBER(FIND(
SUBSTITUTE(BWT!$C$1:$C$100," ",""),
SUBSTITUTE(SUBSTITUTE(SUBSTITUTE(F59," ",""),"-",""),CHAR(160),"")
))
),
1
),
"")</f>
        <v>TAW8B87</v>
      </c>
    </row>
    <row r="60" spans="1:29" x14ac:dyDescent="0.3">
      <c r="A60" s="112" t="s">
        <v>478</v>
      </c>
      <c r="B60" s="112" t="s">
        <v>469</v>
      </c>
      <c r="C60" s="112" t="s">
        <v>406</v>
      </c>
      <c r="D60" s="112" t="s">
        <v>479</v>
      </c>
      <c r="E60" s="112" t="s">
        <v>480</v>
      </c>
      <c r="F60" s="112" t="s">
        <v>481</v>
      </c>
      <c r="G60" s="112" t="s">
        <v>482</v>
      </c>
      <c r="H60" s="112" t="s">
        <v>474</v>
      </c>
      <c r="I60" s="112" t="s">
        <v>243</v>
      </c>
      <c r="J60" s="112" t="s">
        <v>475</v>
      </c>
      <c r="K60" s="112" t="s">
        <v>232</v>
      </c>
      <c r="L60" s="112" t="s">
        <v>476</v>
      </c>
      <c r="M60" s="112" t="s">
        <v>477</v>
      </c>
      <c r="N60" s="112" t="s">
        <v>477</v>
      </c>
      <c r="O60" s="112" t="s">
        <v>476</v>
      </c>
      <c r="P60" s="112" t="s">
        <v>476</v>
      </c>
      <c r="Q60" s="112" t="s">
        <v>246</v>
      </c>
      <c r="R60" s="112">
        <v>56655</v>
      </c>
      <c r="S60" s="112">
        <v>49760</v>
      </c>
      <c r="T60" s="113">
        <v>19961.53</v>
      </c>
      <c r="U60" s="113">
        <v>17566.150000000001</v>
      </c>
      <c r="V60" s="113">
        <v>0</v>
      </c>
      <c r="W60" s="113">
        <v>2395.38</v>
      </c>
      <c r="X60" s="121">
        <v>0.12</v>
      </c>
      <c r="Y60" s="113">
        <v>19961.53</v>
      </c>
      <c r="Z60" s="87" t="str">
        <f t="shared" si="2"/>
        <v>JOACABA/CUBATAO</v>
      </c>
      <c r="AA60" s="87">
        <f>IFERROR(_xlfn.XLOOKUP(Z60,Rotas!C:C,Rotas!D:D),"0")</f>
        <v>782</v>
      </c>
      <c r="AB60" s="88" t="str">
        <f t="shared" si="3"/>
        <v>BWT</v>
      </c>
      <c r="AC60" s="21" t="str" cm="1">
        <f t="array" ref="AC60">IFERROR(
INDEX(
_xlfn._xlws.FILTER(
BWT!$C$1:$C$100,
ISNUMBER(FIND(
SUBSTITUTE(BWT!$C$1:$C$100," ",""),
SUBSTITUTE(SUBSTITUTE(SUBSTITUTE(F60," ",""),"-",""),CHAR(160),"")
))
),
1
),
"")</f>
        <v>SEY8B40</v>
      </c>
    </row>
    <row r="61" spans="1:29" hidden="1" x14ac:dyDescent="0.3">
      <c r="A61" s="112" t="s">
        <v>412</v>
      </c>
      <c r="B61" s="112" t="s">
        <v>236</v>
      </c>
      <c r="C61" s="112" t="s">
        <v>406</v>
      </c>
      <c r="D61" s="112" t="s">
        <v>413</v>
      </c>
      <c r="E61" s="112" t="s">
        <v>414</v>
      </c>
      <c r="F61" s="112" t="s">
        <v>169</v>
      </c>
      <c r="G61" s="112" t="s">
        <v>170</v>
      </c>
      <c r="H61" s="112" t="s">
        <v>173</v>
      </c>
      <c r="I61" s="112" t="s">
        <v>174</v>
      </c>
      <c r="J61" s="112" t="s">
        <v>281</v>
      </c>
      <c r="K61" s="112" t="s">
        <v>232</v>
      </c>
      <c r="L61" s="112" t="s">
        <v>415</v>
      </c>
      <c r="M61" s="112" t="s">
        <v>175</v>
      </c>
      <c r="N61" s="112" t="s">
        <v>175</v>
      </c>
      <c r="O61" s="112" t="s">
        <v>415</v>
      </c>
      <c r="P61" s="112" t="s">
        <v>415</v>
      </c>
      <c r="Q61" s="112" t="s">
        <v>246</v>
      </c>
      <c r="R61" s="112">
        <v>56356</v>
      </c>
      <c r="S61" s="112">
        <v>75380</v>
      </c>
      <c r="T61" s="113">
        <v>15779.68</v>
      </c>
      <c r="U61" s="113">
        <v>12815.75</v>
      </c>
      <c r="V61" s="113">
        <v>1070.3699999999999</v>
      </c>
      <c r="W61" s="113">
        <v>1893.56</v>
      </c>
      <c r="X61" s="121">
        <v>0.12</v>
      </c>
      <c r="Y61" s="113">
        <v>15779.68</v>
      </c>
      <c r="Z61" s="87" t="str">
        <f t="shared" si="2"/>
        <v>IJUI/PAULINIA</v>
      </c>
      <c r="AA61" s="87">
        <f>IFERROR(_xlfn.XLOOKUP(Z61,Rotas!C:C,Rotas!D:D),"0")</f>
        <v>1212</v>
      </c>
      <c r="AB61" s="88" t="str">
        <f t="shared" si="3"/>
        <v>BWT</v>
      </c>
      <c r="AC61" s="21" t="str" cm="1">
        <f t="array" ref="AC61">IFERROR(
INDEX(
_xlfn._xlws.FILTER(
BWT!$C$1:$C$100,
ISNUMBER(FIND(
SUBSTITUTE(BWT!$C$1:$C$100," ",""),
SUBSTITUTE(SUBSTITUTE(SUBSTITUTE(F61," ",""),"-",""),CHAR(160),"")
))
),
1
),
"")</f>
        <v>SEY8B43</v>
      </c>
    </row>
    <row r="62" spans="1:29" hidden="1" x14ac:dyDescent="0.3">
      <c r="A62" s="112" t="s">
        <v>416</v>
      </c>
      <c r="B62" s="112" t="s">
        <v>236</v>
      </c>
      <c r="C62" s="112" t="s">
        <v>406</v>
      </c>
      <c r="D62" s="112" t="s">
        <v>417</v>
      </c>
      <c r="E62" s="112" t="s">
        <v>418</v>
      </c>
      <c r="F62" s="112" t="s">
        <v>419</v>
      </c>
      <c r="G62" s="112" t="s">
        <v>420</v>
      </c>
      <c r="H62" s="112" t="s">
        <v>173</v>
      </c>
      <c r="I62" s="112" t="s">
        <v>174</v>
      </c>
      <c r="J62" s="112" t="s">
        <v>281</v>
      </c>
      <c r="K62" s="112" t="s">
        <v>232</v>
      </c>
      <c r="L62" s="112" t="s">
        <v>415</v>
      </c>
      <c r="M62" s="112" t="s">
        <v>175</v>
      </c>
      <c r="N62" s="112" t="s">
        <v>175</v>
      </c>
      <c r="O62" s="112" t="s">
        <v>415</v>
      </c>
      <c r="P62" s="112" t="s">
        <v>415</v>
      </c>
      <c r="Q62" s="112" t="s">
        <v>246</v>
      </c>
      <c r="R62" s="112">
        <v>57345</v>
      </c>
      <c r="S62" s="112">
        <v>75700</v>
      </c>
      <c r="T62" s="113">
        <v>16056.6</v>
      </c>
      <c r="U62" s="113">
        <v>13059.44</v>
      </c>
      <c r="V62" s="113">
        <v>1070.3699999999999</v>
      </c>
      <c r="W62" s="113">
        <v>1926.79</v>
      </c>
      <c r="X62" s="121">
        <v>0.12</v>
      </c>
      <c r="Y62" s="113">
        <v>16056.6</v>
      </c>
      <c r="Z62" s="87" t="str">
        <f t="shared" si="2"/>
        <v>IJUI/PAULINIA</v>
      </c>
      <c r="AA62" s="87">
        <f>IFERROR(_xlfn.XLOOKUP(Z62,Rotas!C:C,Rotas!D:D),"0")</f>
        <v>1212</v>
      </c>
      <c r="AB62" s="88" t="str">
        <f t="shared" si="3"/>
        <v>BWT</v>
      </c>
      <c r="AC62" s="21" t="str" cm="1">
        <f t="array" ref="AC62">IFERROR(
INDEX(
_xlfn._xlws.FILTER(
BWT!$C$1:$C$100,
ISNUMBER(FIND(
SUBSTITUTE(BWT!$C$1:$C$100," ",""),
SUBSTITUTE(SUBSTITUTE(SUBSTITUTE(F62," ",""),"-",""),CHAR(160),"")
))
),
1
),
"")</f>
        <v>SEE2J87</v>
      </c>
    </row>
    <row r="63" spans="1:29" hidden="1" x14ac:dyDescent="0.3">
      <c r="A63" s="112" t="s">
        <v>494</v>
      </c>
      <c r="B63" s="112" t="s">
        <v>226</v>
      </c>
      <c r="C63" s="112" t="s">
        <v>495</v>
      </c>
      <c r="D63" s="112" t="s">
        <v>496</v>
      </c>
      <c r="E63" s="112" t="s">
        <v>497</v>
      </c>
      <c r="F63" s="112" t="s">
        <v>317</v>
      </c>
      <c r="G63" s="112" t="s">
        <v>318</v>
      </c>
      <c r="H63" s="112" t="s">
        <v>280</v>
      </c>
      <c r="I63" s="112" t="s">
        <v>232</v>
      </c>
      <c r="J63" s="112" t="s">
        <v>281</v>
      </c>
      <c r="K63" s="112" t="s">
        <v>232</v>
      </c>
      <c r="L63" s="112" t="s">
        <v>254</v>
      </c>
      <c r="M63" s="112" t="s">
        <v>254</v>
      </c>
      <c r="N63" s="112" t="s">
        <v>282</v>
      </c>
      <c r="O63" s="112" t="s">
        <v>217</v>
      </c>
      <c r="P63" s="112" t="s">
        <v>217</v>
      </c>
      <c r="Q63" s="112" t="s">
        <v>498</v>
      </c>
      <c r="R63" s="112">
        <v>45692</v>
      </c>
      <c r="S63" s="112">
        <v>37920</v>
      </c>
      <c r="T63" s="113">
        <v>2359.89</v>
      </c>
      <c r="U63" s="113">
        <v>2076.6999999999998</v>
      </c>
      <c r="V63" s="113">
        <v>0</v>
      </c>
      <c r="W63" s="113">
        <v>283.19</v>
      </c>
      <c r="X63" s="121">
        <v>0.12</v>
      </c>
      <c r="Y63" s="113">
        <v>2359.89</v>
      </c>
      <c r="Z63" s="87" t="str">
        <f t="shared" si="2"/>
        <v>SANTOS/PAULINIA</v>
      </c>
      <c r="AA63" s="87">
        <f>IFERROR(_xlfn.XLOOKUP(Z63,Rotas!C:C,Rotas!D:D),"0")</f>
        <v>215</v>
      </c>
      <c r="AB63" s="88" t="str">
        <f t="shared" si="3"/>
        <v>BWT</v>
      </c>
      <c r="AC63" s="21" t="str" cm="1">
        <f t="array" ref="AC63">IFERROR(
INDEX(
_xlfn._xlws.FILTER(
BWT!$C$1:$C$100,
ISNUMBER(FIND(
SUBSTITUTE(BWT!$C$1:$C$100," ",""),
SUBSTITUTE(SUBSTITUTE(SUBSTITUTE(F63," ",""),"-",""),CHAR(160),"")
))
),
1
),
"")</f>
        <v>BAX9A94</v>
      </c>
    </row>
    <row r="64" spans="1:29" hidden="1" x14ac:dyDescent="0.3">
      <c r="A64" s="112" t="s">
        <v>499</v>
      </c>
      <c r="B64" s="112" t="s">
        <v>226</v>
      </c>
      <c r="C64" s="112" t="s">
        <v>495</v>
      </c>
      <c r="D64" s="112" t="s">
        <v>343</v>
      </c>
      <c r="E64" s="112" t="s">
        <v>500</v>
      </c>
      <c r="F64" s="112" t="s">
        <v>385</v>
      </c>
      <c r="G64" s="112" t="s">
        <v>386</v>
      </c>
      <c r="H64" s="112" t="s">
        <v>280</v>
      </c>
      <c r="I64" s="112" t="s">
        <v>232</v>
      </c>
      <c r="J64" s="112" t="s">
        <v>281</v>
      </c>
      <c r="K64" s="112" t="s">
        <v>232</v>
      </c>
      <c r="L64" s="112" t="s">
        <v>254</v>
      </c>
      <c r="M64" s="112" t="s">
        <v>254</v>
      </c>
      <c r="N64" s="112" t="s">
        <v>282</v>
      </c>
      <c r="O64" s="112" t="s">
        <v>217</v>
      </c>
      <c r="P64" s="112" t="s">
        <v>217</v>
      </c>
      <c r="Q64" s="112" t="s">
        <v>498</v>
      </c>
      <c r="R64" s="112">
        <v>59561</v>
      </c>
      <c r="S64" s="112">
        <v>49114</v>
      </c>
      <c r="T64" s="113">
        <v>3149.97</v>
      </c>
      <c r="U64" s="113">
        <v>2771.97</v>
      </c>
      <c r="V64" s="113">
        <v>0</v>
      </c>
      <c r="W64" s="113">
        <v>378</v>
      </c>
      <c r="X64" s="121">
        <v>0.12</v>
      </c>
      <c r="Y64" s="113">
        <v>3149.97</v>
      </c>
      <c r="Z64" s="87" t="str">
        <f t="shared" si="2"/>
        <v>SANTOS/PAULINIA</v>
      </c>
      <c r="AA64" s="87">
        <f>IFERROR(_xlfn.XLOOKUP(Z64,Rotas!C:C,Rotas!D:D),"0")</f>
        <v>215</v>
      </c>
      <c r="AB64" s="88" t="str">
        <f t="shared" si="3"/>
        <v>BWT</v>
      </c>
      <c r="AC64" s="21" t="str" cm="1">
        <f t="array" ref="AC64">IFERROR(
INDEX(
_xlfn._xlws.FILTER(
BWT!$C$1:$C$100,
ISNUMBER(FIND(
SUBSTITUTE(BWT!$C$1:$C$100," ",""),
SUBSTITUTE(SUBSTITUTE(SUBSTITUTE(F64," ",""),"-",""),CHAR(160),"")
))
),
1
),
"")</f>
        <v>SEX2C75</v>
      </c>
    </row>
    <row r="65" spans="1:29" hidden="1" x14ac:dyDescent="0.3">
      <c r="A65" s="112" t="s">
        <v>501</v>
      </c>
      <c r="B65" s="112" t="s">
        <v>226</v>
      </c>
      <c r="C65" s="112" t="s">
        <v>495</v>
      </c>
      <c r="D65" s="112" t="s">
        <v>355</v>
      </c>
      <c r="E65" s="112" t="s">
        <v>502</v>
      </c>
      <c r="F65" s="112" t="s">
        <v>398</v>
      </c>
      <c r="G65" s="112" t="s">
        <v>399</v>
      </c>
      <c r="H65" s="112" t="s">
        <v>280</v>
      </c>
      <c r="I65" s="112" t="s">
        <v>232</v>
      </c>
      <c r="J65" s="112" t="s">
        <v>281</v>
      </c>
      <c r="K65" s="112" t="s">
        <v>232</v>
      </c>
      <c r="L65" s="112" t="s">
        <v>254</v>
      </c>
      <c r="M65" s="112" t="s">
        <v>254</v>
      </c>
      <c r="N65" s="112" t="s">
        <v>282</v>
      </c>
      <c r="O65" s="112" t="s">
        <v>217</v>
      </c>
      <c r="P65" s="112" t="s">
        <v>217</v>
      </c>
      <c r="Q65" s="112" t="s">
        <v>498</v>
      </c>
      <c r="R65" s="112">
        <v>59863</v>
      </c>
      <c r="S65" s="112">
        <v>49680</v>
      </c>
      <c r="T65" s="113">
        <v>3150.3</v>
      </c>
      <c r="U65" s="113">
        <v>2772.26</v>
      </c>
      <c r="V65" s="113">
        <v>0</v>
      </c>
      <c r="W65" s="113">
        <v>378.04</v>
      </c>
      <c r="X65" s="121">
        <v>0.12</v>
      </c>
      <c r="Y65" s="113">
        <v>3150.3</v>
      </c>
      <c r="Z65" s="87" t="str">
        <f t="shared" si="2"/>
        <v>SANTOS/PAULINIA</v>
      </c>
      <c r="AA65" s="87">
        <f>IFERROR(_xlfn.XLOOKUP(Z65,Rotas!C:C,Rotas!D:D),"0")</f>
        <v>215</v>
      </c>
      <c r="AB65" s="88" t="str">
        <f t="shared" si="3"/>
        <v>BWT</v>
      </c>
      <c r="AC65" s="21" t="str" cm="1">
        <f t="array" ref="AC65">IFERROR(
INDEX(
_xlfn._xlws.FILTER(
BWT!$C$1:$C$100,
ISNUMBER(FIND(
SUBSTITUTE(BWT!$C$1:$C$100," ",""),
SUBSTITUTE(SUBSTITUTE(SUBSTITUTE(F65," ",""),"-",""),CHAR(160),"")
))
),
1
),
"")</f>
        <v>SED7D20</v>
      </c>
    </row>
    <row r="66" spans="1:29" hidden="1" x14ac:dyDescent="0.3">
      <c r="A66" s="112" t="s">
        <v>503</v>
      </c>
      <c r="B66" s="112" t="s">
        <v>226</v>
      </c>
      <c r="C66" s="112" t="s">
        <v>495</v>
      </c>
      <c r="D66" s="112" t="s">
        <v>360</v>
      </c>
      <c r="E66" s="112" t="s">
        <v>504</v>
      </c>
      <c r="F66" s="112" t="s">
        <v>505</v>
      </c>
      <c r="G66" s="112" t="s">
        <v>293</v>
      </c>
      <c r="H66" s="112" t="s">
        <v>280</v>
      </c>
      <c r="I66" s="112" t="s">
        <v>232</v>
      </c>
      <c r="J66" s="112" t="s">
        <v>281</v>
      </c>
      <c r="K66" s="112" t="s">
        <v>232</v>
      </c>
      <c r="L66" s="112" t="s">
        <v>254</v>
      </c>
      <c r="M66" s="112" t="s">
        <v>254</v>
      </c>
      <c r="N66" s="112" t="s">
        <v>282</v>
      </c>
      <c r="O66" s="112" t="s">
        <v>217</v>
      </c>
      <c r="P66" s="112" t="s">
        <v>217</v>
      </c>
      <c r="Q66" s="112" t="s">
        <v>498</v>
      </c>
      <c r="R66" s="112">
        <v>59755</v>
      </c>
      <c r="S66" s="112">
        <v>49644</v>
      </c>
      <c r="T66" s="113">
        <v>3150.03</v>
      </c>
      <c r="U66" s="113">
        <v>2772.03</v>
      </c>
      <c r="V66" s="113">
        <v>0</v>
      </c>
      <c r="W66" s="113">
        <v>378</v>
      </c>
      <c r="X66" s="121">
        <v>0.12</v>
      </c>
      <c r="Y66" s="113">
        <v>3150.03</v>
      </c>
      <c r="Z66" s="87" t="str">
        <f t="shared" ref="Z66:Z97" si="4">IF(H66&amp;J66="","CT-e COMPLEMENTAR",H66&amp;"/"&amp;J66)</f>
        <v>SANTOS/PAULINIA</v>
      </c>
      <c r="AA66" s="87">
        <f>IFERROR(_xlfn.XLOOKUP(Z66,Rotas!C:C,Rotas!D:D),"0")</f>
        <v>215</v>
      </c>
      <c r="AB66" s="88" t="str">
        <f t="shared" ref="AB66:AB97" si="5">IF(AC66=0,"SUBCONTRATADO","BWT")</f>
        <v>BWT</v>
      </c>
      <c r="AC66" s="21" t="str" cm="1">
        <f t="array" ref="AC66">IFERROR(
INDEX(
_xlfn._xlws.FILTER(
BWT!$C$1:$C$100,
ISNUMBER(FIND(
SUBSTITUTE(BWT!$C$1:$C$100," ",""),
SUBSTITUTE(SUBSTITUTE(SUBSTITUTE(F66," ",""),"-",""),CHAR(160),"")
))
),
1
),
"")</f>
        <v>TAW8C09</v>
      </c>
    </row>
    <row r="67" spans="1:29" hidden="1" x14ac:dyDescent="0.3">
      <c r="A67" s="112" t="s">
        <v>506</v>
      </c>
      <c r="B67" s="112" t="s">
        <v>226</v>
      </c>
      <c r="C67" s="112" t="s">
        <v>495</v>
      </c>
      <c r="D67" s="112" t="s">
        <v>332</v>
      </c>
      <c r="E67" s="112" t="s">
        <v>507</v>
      </c>
      <c r="F67" s="112" t="s">
        <v>390</v>
      </c>
      <c r="G67" s="112" t="s">
        <v>391</v>
      </c>
      <c r="H67" s="112" t="s">
        <v>280</v>
      </c>
      <c r="I67" s="112" t="s">
        <v>232</v>
      </c>
      <c r="J67" s="112" t="s">
        <v>281</v>
      </c>
      <c r="K67" s="112" t="s">
        <v>232</v>
      </c>
      <c r="L67" s="112" t="s">
        <v>254</v>
      </c>
      <c r="M67" s="112" t="s">
        <v>254</v>
      </c>
      <c r="N67" s="112" t="s">
        <v>282</v>
      </c>
      <c r="O67" s="112" t="s">
        <v>217</v>
      </c>
      <c r="P67" s="112" t="s">
        <v>217</v>
      </c>
      <c r="Q67" s="112" t="s">
        <v>498</v>
      </c>
      <c r="R67" s="112">
        <v>59652</v>
      </c>
      <c r="S67" s="112">
        <v>49380</v>
      </c>
      <c r="T67" s="113">
        <v>3150.03</v>
      </c>
      <c r="U67" s="113">
        <v>2772.03</v>
      </c>
      <c r="V67" s="113">
        <v>0</v>
      </c>
      <c r="W67" s="113">
        <v>378</v>
      </c>
      <c r="X67" s="121">
        <v>0.12</v>
      </c>
      <c r="Y67" s="113">
        <v>3150.03</v>
      </c>
      <c r="Z67" s="87" t="str">
        <f t="shared" si="4"/>
        <v>SANTOS/PAULINIA</v>
      </c>
      <c r="AA67" s="87">
        <f>IFERROR(_xlfn.XLOOKUP(Z67,Rotas!C:C,Rotas!D:D),"0")</f>
        <v>215</v>
      </c>
      <c r="AB67" s="88" t="str">
        <f t="shared" si="5"/>
        <v>BWT</v>
      </c>
      <c r="AC67" s="21" t="str" cm="1">
        <f t="array" ref="AC67">IFERROR(
INDEX(
_xlfn._xlws.FILTER(
BWT!$C$1:$C$100,
ISNUMBER(FIND(
SUBSTITUTE(BWT!$C$1:$C$100," ",""),
SUBSTITUTE(SUBSTITUTE(SUBSTITUTE(F67," ",""),"-",""),CHAR(160),"")
))
),
1
),
"")</f>
        <v>SEE2J90</v>
      </c>
    </row>
    <row r="68" spans="1:29" hidden="1" x14ac:dyDescent="0.3">
      <c r="A68" s="112" t="s">
        <v>508</v>
      </c>
      <c r="B68" s="112" t="s">
        <v>226</v>
      </c>
      <c r="C68" s="112" t="s">
        <v>495</v>
      </c>
      <c r="D68" s="112" t="s">
        <v>338</v>
      </c>
      <c r="E68" s="112" t="s">
        <v>509</v>
      </c>
      <c r="F68" s="112" t="s">
        <v>307</v>
      </c>
      <c r="G68" s="112" t="s">
        <v>308</v>
      </c>
      <c r="H68" s="112" t="s">
        <v>280</v>
      </c>
      <c r="I68" s="112" t="s">
        <v>232</v>
      </c>
      <c r="J68" s="112" t="s">
        <v>281</v>
      </c>
      <c r="K68" s="112" t="s">
        <v>232</v>
      </c>
      <c r="L68" s="112" t="s">
        <v>254</v>
      </c>
      <c r="M68" s="112" t="s">
        <v>254</v>
      </c>
      <c r="N68" s="112" t="s">
        <v>282</v>
      </c>
      <c r="O68" s="112" t="s">
        <v>217</v>
      </c>
      <c r="P68" s="112" t="s">
        <v>217</v>
      </c>
      <c r="Q68" s="112" t="s">
        <v>283</v>
      </c>
      <c r="R68" s="112">
        <v>49511</v>
      </c>
      <c r="S68" s="112">
        <v>35712</v>
      </c>
      <c r="T68" s="113">
        <v>2360.2199999999998</v>
      </c>
      <c r="U68" s="113">
        <v>2076.9899999999998</v>
      </c>
      <c r="V68" s="113">
        <v>0</v>
      </c>
      <c r="W68" s="113">
        <v>283.23</v>
      </c>
      <c r="X68" s="121">
        <v>0.12</v>
      </c>
      <c r="Y68" s="113">
        <v>2360.2199999999998</v>
      </c>
      <c r="Z68" s="87" t="str">
        <f t="shared" si="4"/>
        <v>SANTOS/PAULINIA</v>
      </c>
      <c r="AA68" s="87">
        <f>IFERROR(_xlfn.XLOOKUP(Z68,Rotas!C:C,Rotas!D:D),"0")</f>
        <v>215</v>
      </c>
      <c r="AB68" s="88" t="str">
        <f t="shared" si="5"/>
        <v>BWT</v>
      </c>
      <c r="AC68" s="21" t="str" cm="1">
        <f t="array" ref="AC68">IFERROR(
INDEX(
_xlfn._xlws.FILTER(
BWT!$C$1:$C$100,
ISNUMBER(FIND(
SUBSTITUTE(BWT!$C$1:$C$100," ",""),
SUBSTITUTE(SUBSTITUTE(SUBSTITUTE(F68," ",""),"-",""),CHAR(160),"")
))
),
1
),
"")</f>
        <v>BDQ4E30</v>
      </c>
    </row>
    <row r="69" spans="1:29" hidden="1" x14ac:dyDescent="0.3">
      <c r="A69" s="112" t="s">
        <v>512</v>
      </c>
      <c r="B69" s="112" t="s">
        <v>226</v>
      </c>
      <c r="C69" s="112" t="s">
        <v>495</v>
      </c>
      <c r="D69" s="112" t="s">
        <v>413</v>
      </c>
      <c r="E69" s="112" t="s">
        <v>513</v>
      </c>
      <c r="F69" s="112" t="s">
        <v>312</v>
      </c>
      <c r="G69" s="112" t="s">
        <v>313</v>
      </c>
      <c r="H69" s="112" t="s">
        <v>280</v>
      </c>
      <c r="I69" s="112" t="s">
        <v>232</v>
      </c>
      <c r="J69" s="112" t="s">
        <v>281</v>
      </c>
      <c r="K69" s="112" t="s">
        <v>232</v>
      </c>
      <c r="L69" s="112" t="s">
        <v>254</v>
      </c>
      <c r="M69" s="112" t="s">
        <v>254</v>
      </c>
      <c r="N69" s="112" t="s">
        <v>282</v>
      </c>
      <c r="O69" s="112" t="s">
        <v>217</v>
      </c>
      <c r="P69" s="112" t="s">
        <v>217</v>
      </c>
      <c r="Q69" s="112" t="s">
        <v>283</v>
      </c>
      <c r="R69" s="112">
        <v>44472</v>
      </c>
      <c r="S69" s="112">
        <v>32078</v>
      </c>
      <c r="T69" s="113">
        <v>2360.0500000000002</v>
      </c>
      <c r="U69" s="113">
        <v>2076.84</v>
      </c>
      <c r="V69" s="113">
        <v>0</v>
      </c>
      <c r="W69" s="113">
        <v>283.20999999999998</v>
      </c>
      <c r="X69" s="121">
        <v>0.12</v>
      </c>
      <c r="Y69" s="113">
        <v>2360.0500000000002</v>
      </c>
      <c r="Z69" s="87" t="str">
        <f t="shared" si="4"/>
        <v>SANTOS/PAULINIA</v>
      </c>
      <c r="AA69" s="87">
        <f>IFERROR(_xlfn.XLOOKUP(Z69,Rotas!C:C,Rotas!D:D),"0")</f>
        <v>215</v>
      </c>
      <c r="AB69" s="88" t="str">
        <f t="shared" si="5"/>
        <v>BWT</v>
      </c>
      <c r="AC69" s="21" t="str" cm="1">
        <f t="array" ref="AC69">IFERROR(
INDEX(
_xlfn._xlws.FILTER(
BWT!$C$1:$C$100,
ISNUMBER(FIND(
SUBSTITUTE(BWT!$C$1:$C$100," ",""),
SUBSTITUTE(SUBSTITUTE(SUBSTITUTE(F69," ",""),"-",""),CHAR(160),"")
))
),
1
),
"")</f>
        <v>BBM5I45</v>
      </c>
    </row>
    <row r="70" spans="1:29" hidden="1" x14ac:dyDescent="0.3">
      <c r="A70" s="112" t="s">
        <v>510</v>
      </c>
      <c r="B70" s="112" t="s">
        <v>226</v>
      </c>
      <c r="C70" s="112" t="s">
        <v>495</v>
      </c>
      <c r="D70" s="112" t="s">
        <v>417</v>
      </c>
      <c r="E70" s="112" t="s">
        <v>511</v>
      </c>
      <c r="F70" s="112" t="s">
        <v>297</v>
      </c>
      <c r="G70" s="112" t="s">
        <v>298</v>
      </c>
      <c r="H70" s="112" t="s">
        <v>280</v>
      </c>
      <c r="I70" s="112" t="s">
        <v>232</v>
      </c>
      <c r="J70" s="112" t="s">
        <v>281</v>
      </c>
      <c r="K70" s="112" t="s">
        <v>232</v>
      </c>
      <c r="L70" s="112" t="s">
        <v>254</v>
      </c>
      <c r="M70" s="112" t="s">
        <v>254</v>
      </c>
      <c r="N70" s="112" t="s">
        <v>282</v>
      </c>
      <c r="O70" s="112" t="s">
        <v>217</v>
      </c>
      <c r="P70" s="112" t="s">
        <v>217</v>
      </c>
      <c r="Q70" s="112" t="s">
        <v>283</v>
      </c>
      <c r="R70" s="112">
        <v>63013</v>
      </c>
      <c r="S70" s="112">
        <v>45445</v>
      </c>
      <c r="T70" s="113">
        <v>3149.93</v>
      </c>
      <c r="U70" s="113">
        <v>2771.94</v>
      </c>
      <c r="V70" s="113">
        <v>0</v>
      </c>
      <c r="W70" s="113">
        <v>377.99</v>
      </c>
      <c r="X70" s="121">
        <v>0.12</v>
      </c>
      <c r="Y70" s="113">
        <v>3149.93</v>
      </c>
      <c r="Z70" s="87" t="str">
        <f t="shared" si="4"/>
        <v>SANTOS/PAULINIA</v>
      </c>
      <c r="AA70" s="87">
        <f>IFERROR(_xlfn.XLOOKUP(Z70,Rotas!C:C,Rotas!D:D),"0")</f>
        <v>215</v>
      </c>
      <c r="AB70" s="88" t="str">
        <f t="shared" si="5"/>
        <v>BWT</v>
      </c>
      <c r="AC70" s="21" t="str" cm="1">
        <f t="array" ref="AC70">IFERROR(
INDEX(
_xlfn._xlws.FILTER(
BWT!$C$1:$C$100,
ISNUMBER(FIND(
SUBSTITUTE(BWT!$C$1:$C$100," ",""),
SUBSTITUTE(SUBSTITUTE(SUBSTITUTE(F70," ",""),"-",""),CHAR(160),"")
))
),
1
),
"")</f>
        <v>SEX2C73</v>
      </c>
    </row>
    <row r="71" spans="1:29" hidden="1" x14ac:dyDescent="0.3">
      <c r="A71" s="112" t="s">
        <v>514</v>
      </c>
      <c r="B71" s="112" t="s">
        <v>226</v>
      </c>
      <c r="C71" s="112" t="s">
        <v>495</v>
      </c>
      <c r="D71" s="112" t="s">
        <v>515</v>
      </c>
      <c r="E71" s="112" t="s">
        <v>516</v>
      </c>
      <c r="F71" s="112" t="s">
        <v>302</v>
      </c>
      <c r="G71" s="112" t="s">
        <v>303</v>
      </c>
      <c r="H71" s="112" t="s">
        <v>280</v>
      </c>
      <c r="I71" s="112" t="s">
        <v>232</v>
      </c>
      <c r="J71" s="112" t="s">
        <v>281</v>
      </c>
      <c r="K71" s="112" t="s">
        <v>232</v>
      </c>
      <c r="L71" s="112" t="s">
        <v>254</v>
      </c>
      <c r="M71" s="112" t="s">
        <v>254</v>
      </c>
      <c r="N71" s="112" t="s">
        <v>282</v>
      </c>
      <c r="O71" s="112" t="s">
        <v>217</v>
      </c>
      <c r="P71" s="112" t="s">
        <v>217</v>
      </c>
      <c r="Q71" s="112" t="s">
        <v>283</v>
      </c>
      <c r="R71" s="112">
        <v>63123</v>
      </c>
      <c r="S71" s="112">
        <v>45417</v>
      </c>
      <c r="T71" s="113">
        <v>3149.69</v>
      </c>
      <c r="U71" s="113">
        <v>2771.73</v>
      </c>
      <c r="V71" s="113">
        <v>0</v>
      </c>
      <c r="W71" s="113">
        <v>377.96</v>
      </c>
      <c r="X71" s="121">
        <v>0.12</v>
      </c>
      <c r="Y71" s="113">
        <v>3149.69</v>
      </c>
      <c r="Z71" s="87" t="str">
        <f t="shared" si="4"/>
        <v>SANTOS/PAULINIA</v>
      </c>
      <c r="AA71" s="87">
        <f>IFERROR(_xlfn.XLOOKUP(Z71,Rotas!C:C,Rotas!D:D),"0")</f>
        <v>215</v>
      </c>
      <c r="AB71" s="88" t="str">
        <f t="shared" si="5"/>
        <v>BWT</v>
      </c>
      <c r="AC71" s="21" t="str" cm="1">
        <f t="array" ref="AC71">IFERROR(
INDEX(
_xlfn._xlws.FILTER(
BWT!$C$1:$C$100,
ISNUMBER(FIND(
SUBSTITUTE(BWT!$C$1:$C$100," ",""),
SUBSTITUTE(SUBSTITUTE(SUBSTITUTE(F71," ",""),"-",""),CHAR(160),"")
))
),
1
),
"")</f>
        <v>SEE0I13</v>
      </c>
    </row>
    <row r="72" spans="1:29" hidden="1" x14ac:dyDescent="0.3">
      <c r="A72" s="112" t="s">
        <v>517</v>
      </c>
      <c r="B72" s="112" t="s">
        <v>165</v>
      </c>
      <c r="C72" s="112" t="s">
        <v>495</v>
      </c>
      <c r="D72" s="112" t="s">
        <v>518</v>
      </c>
      <c r="E72" s="112" t="s">
        <v>519</v>
      </c>
      <c r="F72" s="112" t="s">
        <v>239</v>
      </c>
      <c r="G72" s="112" t="s">
        <v>240</v>
      </c>
      <c r="H72" s="112" t="s">
        <v>171</v>
      </c>
      <c r="I72" s="112" t="s">
        <v>172</v>
      </c>
      <c r="J72" s="112" t="s">
        <v>520</v>
      </c>
      <c r="K72" s="112" t="s">
        <v>172</v>
      </c>
      <c r="L72" s="112" t="s">
        <v>244</v>
      </c>
      <c r="M72" s="112" t="s">
        <v>244</v>
      </c>
      <c r="N72" s="112" t="s">
        <v>176</v>
      </c>
      <c r="O72" s="112" t="s">
        <v>254</v>
      </c>
      <c r="P72" s="112" t="s">
        <v>254</v>
      </c>
      <c r="Q72" s="112" t="s">
        <v>498</v>
      </c>
      <c r="R72" s="112">
        <v>58039</v>
      </c>
      <c r="S72" s="112">
        <v>47795</v>
      </c>
      <c r="T72" s="113">
        <v>14857.98</v>
      </c>
      <c r="U72" s="113">
        <v>14857.98</v>
      </c>
      <c r="V72" s="113">
        <v>0</v>
      </c>
      <c r="W72" s="113">
        <v>0</v>
      </c>
      <c r="X72" s="112"/>
      <c r="Y72" s="113"/>
      <c r="Z72" s="87" t="str">
        <f t="shared" si="4"/>
        <v>PARANAGUA/LONDRINA</v>
      </c>
      <c r="AA72" s="87">
        <f>IFERROR(_xlfn.XLOOKUP(Z72,Rotas!C:C,Rotas!D:D),"0")</f>
        <v>485</v>
      </c>
      <c r="AB72" s="88" t="str">
        <f t="shared" si="5"/>
        <v>BWT</v>
      </c>
      <c r="AC72" s="21" t="str" cm="1">
        <f t="array" ref="AC72">IFERROR(
INDEX(
_xlfn._xlws.FILTER(
BWT!$C$1:$C$100,
ISNUMBER(FIND(
SUBSTITUTE(BWT!$C$1:$C$100," ",""),
SUBSTITUTE(SUBSTITUTE(SUBSTITUTE(F72," ",""),"-",""),CHAR(160),"")
))
),
1
),
"")</f>
        <v>SEE3G48</v>
      </c>
    </row>
    <row r="73" spans="1:29" hidden="1" x14ac:dyDescent="0.3">
      <c r="A73" s="112" t="s">
        <v>546</v>
      </c>
      <c r="B73" s="112" t="s">
        <v>165</v>
      </c>
      <c r="C73" s="112" t="s">
        <v>522</v>
      </c>
      <c r="D73" s="112" t="s">
        <v>547</v>
      </c>
      <c r="E73" s="112" t="s">
        <v>548</v>
      </c>
      <c r="F73" s="112" t="s">
        <v>334</v>
      </c>
      <c r="G73" s="112" t="s">
        <v>335</v>
      </c>
      <c r="H73" s="112" t="s">
        <v>171</v>
      </c>
      <c r="I73" s="112" t="s">
        <v>172</v>
      </c>
      <c r="J73" s="112" t="s">
        <v>272</v>
      </c>
      <c r="K73" s="112" t="s">
        <v>174</v>
      </c>
      <c r="L73" s="112" t="s">
        <v>273</v>
      </c>
      <c r="M73" s="112" t="s">
        <v>274</v>
      </c>
      <c r="N73" s="112" t="s">
        <v>176</v>
      </c>
      <c r="O73" s="112" t="s">
        <v>273</v>
      </c>
      <c r="P73" s="112" t="s">
        <v>273</v>
      </c>
      <c r="Q73" s="112" t="s">
        <v>177</v>
      </c>
      <c r="R73" s="112">
        <v>47780</v>
      </c>
      <c r="S73" s="112">
        <v>73840</v>
      </c>
      <c r="T73" s="113">
        <v>10272.700000000001</v>
      </c>
      <c r="U73" s="113">
        <v>8232.14</v>
      </c>
      <c r="V73" s="113">
        <v>918</v>
      </c>
      <c r="W73" s="113">
        <v>1122.56</v>
      </c>
      <c r="X73" s="121">
        <v>0.12</v>
      </c>
      <c r="Y73" s="113">
        <v>9354.7000000000007</v>
      </c>
      <c r="Z73" s="87" t="str">
        <f t="shared" si="4"/>
        <v>PARANAGUA/MUITOS CAPOES</v>
      </c>
      <c r="AA73" s="87">
        <f>IFERROR(_xlfn.XLOOKUP(Z73,Rotas!C:C,Rotas!D:D),"0")</f>
        <v>581</v>
      </c>
      <c r="AB73" s="88" t="str">
        <f t="shared" si="5"/>
        <v>BWT</v>
      </c>
      <c r="AC73" s="21" t="str" cm="1">
        <f t="array" ref="AC73">IFERROR(
INDEX(
_xlfn._xlws.FILTER(
BWT!$C$1:$C$100,
ISNUMBER(FIND(
SUBSTITUTE(BWT!$C$1:$C$100," ",""),
SUBSTITUTE(SUBSTITUTE(SUBSTITUTE(F73," ",""),"-",""),CHAR(160),"")
))
),
1
),
"")</f>
        <v>SFF3I82</v>
      </c>
    </row>
    <row r="74" spans="1:29" hidden="1" x14ac:dyDescent="0.3">
      <c r="A74" s="112" t="s">
        <v>549</v>
      </c>
      <c r="B74" s="112" t="s">
        <v>165</v>
      </c>
      <c r="C74" s="112" t="s">
        <v>522</v>
      </c>
      <c r="D74" s="112" t="s">
        <v>550</v>
      </c>
      <c r="E74" s="112" t="s">
        <v>551</v>
      </c>
      <c r="F74" s="112" t="s">
        <v>193</v>
      </c>
      <c r="G74" s="112" t="s">
        <v>194</v>
      </c>
      <c r="H74" s="112" t="s">
        <v>171</v>
      </c>
      <c r="I74" s="112" t="s">
        <v>172</v>
      </c>
      <c r="J74" s="112" t="s">
        <v>272</v>
      </c>
      <c r="K74" s="112" t="s">
        <v>174</v>
      </c>
      <c r="L74" s="112" t="s">
        <v>273</v>
      </c>
      <c r="M74" s="112" t="s">
        <v>274</v>
      </c>
      <c r="N74" s="112" t="s">
        <v>176</v>
      </c>
      <c r="O74" s="112" t="s">
        <v>273</v>
      </c>
      <c r="P74" s="112" t="s">
        <v>273</v>
      </c>
      <c r="Q74" s="112" t="s">
        <v>177</v>
      </c>
      <c r="R74" s="112">
        <v>47922</v>
      </c>
      <c r="S74" s="112">
        <v>73842</v>
      </c>
      <c r="T74" s="113">
        <v>10303.23</v>
      </c>
      <c r="U74" s="113">
        <v>8532.24</v>
      </c>
      <c r="V74" s="113">
        <v>607.5</v>
      </c>
      <c r="W74" s="113">
        <v>1163.49</v>
      </c>
      <c r="X74" s="121">
        <v>0.12</v>
      </c>
      <c r="Y74" s="113">
        <v>9695.73</v>
      </c>
      <c r="Z74" s="87" t="str">
        <f t="shared" si="4"/>
        <v>PARANAGUA/MUITOS CAPOES</v>
      </c>
      <c r="AA74" s="87">
        <f>IFERROR(_xlfn.XLOOKUP(Z74,Rotas!C:C,Rotas!D:D),"0")</f>
        <v>581</v>
      </c>
      <c r="AB74" s="88" t="str">
        <f t="shared" si="5"/>
        <v>SUBCONTRATADO</v>
      </c>
      <c r="AC74" s="21" cm="1">
        <f t="array" ref="AC74">IFERROR(
INDEX(
_xlfn._xlws.FILTER(
BWT!$C$1:$C$100,
ISNUMBER(FIND(
SUBSTITUTE(BWT!$C$1:$C$100," ",""),
SUBSTITUTE(SUBSTITUTE(SUBSTITUTE(F74," ",""),"-",""),CHAR(160),"")
))
),
1
),
"")</f>
        <v>0</v>
      </c>
    </row>
    <row r="75" spans="1:29" hidden="1" x14ac:dyDescent="0.3">
      <c r="A75" s="112" t="s">
        <v>568</v>
      </c>
      <c r="B75" s="112" t="s">
        <v>226</v>
      </c>
      <c r="C75" s="112" t="s">
        <v>522</v>
      </c>
      <c r="D75" s="112" t="s">
        <v>569</v>
      </c>
      <c r="E75" s="112" t="s">
        <v>570</v>
      </c>
      <c r="F75" s="112" t="s">
        <v>438</v>
      </c>
      <c r="G75" s="112" t="s">
        <v>439</v>
      </c>
      <c r="H75" s="112" t="s">
        <v>280</v>
      </c>
      <c r="I75" s="112" t="s">
        <v>232</v>
      </c>
      <c r="J75" s="112" t="s">
        <v>281</v>
      </c>
      <c r="K75" s="112" t="s">
        <v>232</v>
      </c>
      <c r="L75" s="112" t="s">
        <v>254</v>
      </c>
      <c r="M75" s="112" t="s">
        <v>254</v>
      </c>
      <c r="N75" s="112" t="s">
        <v>282</v>
      </c>
      <c r="O75" s="112" t="s">
        <v>217</v>
      </c>
      <c r="P75" s="112" t="s">
        <v>217</v>
      </c>
      <c r="Q75" s="112" t="s">
        <v>283</v>
      </c>
      <c r="R75" s="112">
        <v>50365</v>
      </c>
      <c r="S75" s="112">
        <v>36303</v>
      </c>
      <c r="T75" s="113">
        <v>3150.1</v>
      </c>
      <c r="U75" s="113">
        <v>2772.09</v>
      </c>
      <c r="V75" s="113">
        <v>0</v>
      </c>
      <c r="W75" s="113">
        <v>378.01</v>
      </c>
      <c r="X75" s="121">
        <v>0.12</v>
      </c>
      <c r="Y75" s="113">
        <v>3150.1</v>
      </c>
      <c r="Z75" s="87" t="str">
        <f t="shared" si="4"/>
        <v>SANTOS/PAULINIA</v>
      </c>
      <c r="AA75" s="87">
        <f>IFERROR(_xlfn.XLOOKUP(Z75,Rotas!C:C,Rotas!D:D),"0")</f>
        <v>215</v>
      </c>
      <c r="AB75" s="88" t="str">
        <f t="shared" si="5"/>
        <v>BWT</v>
      </c>
      <c r="AC75" s="21" t="str" cm="1">
        <f t="array" ref="AC75">IFERROR(
INDEX(
_xlfn._xlws.FILTER(
BWT!$C$1:$C$100,
ISNUMBER(FIND(
SUBSTITUTE(BWT!$C$1:$C$100," ",""),
SUBSTITUTE(SUBSTITUTE(SUBSTITUTE(F75," ",""),"-",""),CHAR(160),"")
))
),
1
),
"")</f>
        <v>SFC5F45</v>
      </c>
    </row>
    <row r="76" spans="1:29" hidden="1" x14ac:dyDescent="0.3">
      <c r="A76" s="112" t="s">
        <v>540</v>
      </c>
      <c r="B76" s="112" t="s">
        <v>226</v>
      </c>
      <c r="C76" s="112" t="s">
        <v>522</v>
      </c>
      <c r="D76" s="112" t="s">
        <v>541</v>
      </c>
      <c r="E76" s="112" t="s">
        <v>542</v>
      </c>
      <c r="F76" s="112" t="s">
        <v>543</v>
      </c>
      <c r="G76" s="112" t="s">
        <v>544</v>
      </c>
      <c r="H76" s="112" t="s">
        <v>545</v>
      </c>
      <c r="I76" s="112" t="s">
        <v>232</v>
      </c>
      <c r="J76" s="112" t="s">
        <v>233</v>
      </c>
      <c r="K76" s="112" t="s">
        <v>172</v>
      </c>
      <c r="L76" s="112" t="s">
        <v>217</v>
      </c>
      <c r="M76" s="112" t="s">
        <v>234</v>
      </c>
      <c r="N76" s="112" t="s">
        <v>234</v>
      </c>
      <c r="O76" s="112" t="s">
        <v>217</v>
      </c>
      <c r="P76" s="112" t="s">
        <v>217</v>
      </c>
      <c r="Q76" s="112" t="s">
        <v>219</v>
      </c>
      <c r="R76" s="112">
        <v>59250</v>
      </c>
      <c r="S76" s="112" t="s">
        <v>1748</v>
      </c>
      <c r="T76" s="113">
        <v>8338.09</v>
      </c>
      <c r="U76" s="113">
        <v>7337.52</v>
      </c>
      <c r="V76" s="113">
        <v>0</v>
      </c>
      <c r="W76" s="113">
        <v>1000.57</v>
      </c>
      <c r="X76" s="121">
        <v>0.12</v>
      </c>
      <c r="Y76" s="113">
        <v>8338.09</v>
      </c>
      <c r="Z76" s="87" t="str">
        <f t="shared" si="4"/>
        <v>IACANGA/ARAUCARIA</v>
      </c>
      <c r="AA76" s="87">
        <f>IFERROR(_xlfn.XLOOKUP(Z76,Rotas!C:C,Rotas!D:D),"0")</f>
        <v>580</v>
      </c>
      <c r="AB76" s="88" t="str">
        <f t="shared" si="5"/>
        <v>BWT</v>
      </c>
      <c r="AC76" s="21" t="str" cm="1">
        <f t="array" ref="AC76">IFERROR(
INDEX(
_xlfn._xlws.FILTER(
BWT!$C$1:$C$100,
ISNUMBER(FIND(
SUBSTITUTE(BWT!$C$1:$C$100," ",""),
SUBSTITUTE(SUBSTITUTE(SUBSTITUTE(F76," ",""),"-",""),CHAR(160),"")
))
),
1
),
"")</f>
        <v>SEE0H97</v>
      </c>
    </row>
    <row r="77" spans="1:29" hidden="1" x14ac:dyDescent="0.3">
      <c r="A77" s="112" t="s">
        <v>571</v>
      </c>
      <c r="B77" s="112" t="s">
        <v>226</v>
      </c>
      <c r="C77" s="112" t="s">
        <v>522</v>
      </c>
      <c r="D77" s="112" t="s">
        <v>572</v>
      </c>
      <c r="E77" s="112" t="s">
        <v>573</v>
      </c>
      <c r="F77" s="112" t="s">
        <v>448</v>
      </c>
      <c r="G77" s="112" t="s">
        <v>449</v>
      </c>
      <c r="H77" s="112" t="s">
        <v>280</v>
      </c>
      <c r="I77" s="112" t="s">
        <v>232</v>
      </c>
      <c r="J77" s="112" t="s">
        <v>281</v>
      </c>
      <c r="K77" s="112" t="s">
        <v>232</v>
      </c>
      <c r="L77" s="112" t="s">
        <v>254</v>
      </c>
      <c r="M77" s="112" t="s">
        <v>254</v>
      </c>
      <c r="N77" s="112" t="s">
        <v>282</v>
      </c>
      <c r="O77" s="112" t="s">
        <v>217</v>
      </c>
      <c r="P77" s="112" t="s">
        <v>217</v>
      </c>
      <c r="Q77" s="112" t="s">
        <v>283</v>
      </c>
      <c r="R77" s="112">
        <v>63291</v>
      </c>
      <c r="S77" s="112">
        <v>44297</v>
      </c>
      <c r="T77" s="113">
        <v>3150.17</v>
      </c>
      <c r="U77" s="113">
        <v>2772.15</v>
      </c>
      <c r="V77" s="113">
        <v>0</v>
      </c>
      <c r="W77" s="113">
        <v>378.02</v>
      </c>
      <c r="X77" s="121">
        <v>0.12</v>
      </c>
      <c r="Y77" s="113">
        <v>3150.17</v>
      </c>
      <c r="Z77" s="87" t="str">
        <f t="shared" si="4"/>
        <v>SANTOS/PAULINIA</v>
      </c>
      <c r="AA77" s="87">
        <f>IFERROR(_xlfn.XLOOKUP(Z77,Rotas!C:C,Rotas!D:D),"0")</f>
        <v>215</v>
      </c>
      <c r="AB77" s="88" t="str">
        <f t="shared" si="5"/>
        <v>BWT</v>
      </c>
      <c r="AC77" s="21" t="str" cm="1">
        <f t="array" ref="AC77">IFERROR(
INDEX(
_xlfn._xlws.FILTER(
BWT!$C$1:$C$100,
ISNUMBER(FIND(
SUBSTITUTE(BWT!$C$1:$C$100," ",""),
SUBSTITUTE(SUBSTITUTE(SUBSTITUTE(F77," ",""),"-",""),CHAR(160),"")
))
),
1
),
"")</f>
        <v>TAW8B84</v>
      </c>
    </row>
    <row r="78" spans="1:29" hidden="1" x14ac:dyDescent="0.3">
      <c r="A78" s="112" t="s">
        <v>574</v>
      </c>
      <c r="B78" s="112" t="s">
        <v>226</v>
      </c>
      <c r="C78" s="112" t="s">
        <v>522</v>
      </c>
      <c r="D78" s="112" t="s">
        <v>575</v>
      </c>
      <c r="E78" s="112" t="s">
        <v>576</v>
      </c>
      <c r="F78" s="112" t="s">
        <v>443</v>
      </c>
      <c r="G78" s="112" t="s">
        <v>444</v>
      </c>
      <c r="H78" s="112" t="s">
        <v>280</v>
      </c>
      <c r="I78" s="112" t="s">
        <v>232</v>
      </c>
      <c r="J78" s="112" t="s">
        <v>281</v>
      </c>
      <c r="K78" s="112" t="s">
        <v>232</v>
      </c>
      <c r="L78" s="112" t="s">
        <v>254</v>
      </c>
      <c r="M78" s="112" t="s">
        <v>254</v>
      </c>
      <c r="N78" s="112" t="s">
        <v>282</v>
      </c>
      <c r="O78" s="112" t="s">
        <v>217</v>
      </c>
      <c r="P78" s="112" t="s">
        <v>217</v>
      </c>
      <c r="Q78" s="112" t="s">
        <v>283</v>
      </c>
      <c r="R78" s="112">
        <v>61077</v>
      </c>
      <c r="S78" s="112">
        <v>44024</v>
      </c>
      <c r="T78" s="113">
        <v>3150.33</v>
      </c>
      <c r="U78" s="113">
        <v>2772.29</v>
      </c>
      <c r="V78" s="113">
        <v>0</v>
      </c>
      <c r="W78" s="113">
        <v>378.04</v>
      </c>
      <c r="X78" s="121">
        <v>0.12</v>
      </c>
      <c r="Y78" s="113">
        <v>3150.33</v>
      </c>
      <c r="Z78" s="87" t="str">
        <f t="shared" si="4"/>
        <v>SANTOS/PAULINIA</v>
      </c>
      <c r="AA78" s="87">
        <f>IFERROR(_xlfn.XLOOKUP(Z78,Rotas!C:C,Rotas!D:D),"0")</f>
        <v>215</v>
      </c>
      <c r="AB78" s="88" t="str">
        <f t="shared" si="5"/>
        <v>BWT</v>
      </c>
      <c r="AC78" s="21" t="str" cm="1">
        <f t="array" ref="AC78">IFERROR(
INDEX(
_xlfn._xlws.FILTER(
BWT!$C$1:$C$100,
ISNUMBER(FIND(
SUBSTITUTE(BWT!$C$1:$C$100," ",""),
SUBSTITUTE(SUBSTITUTE(SUBSTITUTE(F78," ",""),"-",""),CHAR(160),"")
))
),
1
),
"")</f>
        <v>SFA7F70</v>
      </c>
    </row>
    <row r="79" spans="1:29" hidden="1" x14ac:dyDescent="0.3">
      <c r="A79" s="112" t="s">
        <v>552</v>
      </c>
      <c r="B79" s="112" t="s">
        <v>165</v>
      </c>
      <c r="C79" s="112" t="s">
        <v>522</v>
      </c>
      <c r="D79" s="112" t="s">
        <v>553</v>
      </c>
      <c r="E79" s="112" t="s">
        <v>554</v>
      </c>
      <c r="F79" s="112" t="s">
        <v>203</v>
      </c>
      <c r="G79" s="112" t="s">
        <v>204</v>
      </c>
      <c r="H79" s="112" t="s">
        <v>171</v>
      </c>
      <c r="I79" s="112" t="s">
        <v>172</v>
      </c>
      <c r="J79" s="112" t="s">
        <v>555</v>
      </c>
      <c r="K79" s="112" t="s">
        <v>172</v>
      </c>
      <c r="L79" s="112" t="s">
        <v>274</v>
      </c>
      <c r="M79" s="112" t="s">
        <v>274</v>
      </c>
      <c r="N79" s="112" t="s">
        <v>176</v>
      </c>
      <c r="O79" s="112" t="s">
        <v>556</v>
      </c>
      <c r="P79" s="112" t="s">
        <v>556</v>
      </c>
      <c r="Q79" s="112" t="s">
        <v>177</v>
      </c>
      <c r="R79" s="112">
        <v>34696</v>
      </c>
      <c r="S79" s="112">
        <v>54456</v>
      </c>
      <c r="T79" s="113">
        <v>9142.0499999999993</v>
      </c>
      <c r="U79" s="113">
        <v>8757.4500000000007</v>
      </c>
      <c r="V79" s="113">
        <v>384.6</v>
      </c>
      <c r="W79" s="113">
        <v>0</v>
      </c>
      <c r="X79" s="112"/>
      <c r="Y79" s="113"/>
      <c r="Z79" s="87" t="str">
        <f t="shared" si="4"/>
        <v>PARANAGUA/ORTIGUEIRA</v>
      </c>
      <c r="AA79" s="87">
        <f>IFERROR(_xlfn.XLOOKUP(Z79,Rotas!C:C,Rotas!D:D),"0")</f>
        <v>354</v>
      </c>
      <c r="AB79" s="88" t="str">
        <f t="shared" si="5"/>
        <v>BWT</v>
      </c>
      <c r="AC79" s="21" t="str" cm="1">
        <f t="array" ref="AC79">IFERROR(
INDEX(
_xlfn._xlws.FILTER(
BWT!$C$1:$C$100,
ISNUMBER(FIND(
SUBSTITUTE(BWT!$C$1:$C$100," ",""),
SUBSTITUTE(SUBSTITUTE(SUBSTITUTE(F79," ",""),"-",""),CHAR(160),"")
))
),
1
),
"")</f>
        <v>BBM8G62</v>
      </c>
    </row>
    <row r="80" spans="1:29" hidden="1" x14ac:dyDescent="0.3">
      <c r="A80" s="112" t="s">
        <v>521</v>
      </c>
      <c r="B80" s="112" t="s">
        <v>165</v>
      </c>
      <c r="C80" s="112" t="s">
        <v>522</v>
      </c>
      <c r="D80" s="112" t="s">
        <v>523</v>
      </c>
      <c r="E80" s="112" t="s">
        <v>524</v>
      </c>
      <c r="F80" s="112" t="s">
        <v>89</v>
      </c>
      <c r="G80" s="112" t="s">
        <v>268</v>
      </c>
      <c r="H80" s="112" t="s">
        <v>171</v>
      </c>
      <c r="I80" s="112" t="s">
        <v>172</v>
      </c>
      <c r="J80" s="112" t="s">
        <v>183</v>
      </c>
      <c r="K80" s="112" t="s">
        <v>172</v>
      </c>
      <c r="L80" s="112" t="s">
        <v>184</v>
      </c>
      <c r="M80" s="112" t="s">
        <v>176</v>
      </c>
      <c r="N80" s="112" t="s">
        <v>176</v>
      </c>
      <c r="O80" s="112" t="s">
        <v>184</v>
      </c>
      <c r="P80" s="112" t="s">
        <v>184</v>
      </c>
      <c r="Q80" s="112" t="s">
        <v>177</v>
      </c>
      <c r="R80" s="112">
        <v>38400</v>
      </c>
      <c r="S80" s="112">
        <v>58260</v>
      </c>
      <c r="T80" s="113">
        <v>3943.68</v>
      </c>
      <c r="U80" s="113">
        <v>3943.68</v>
      </c>
      <c r="V80" s="113">
        <v>0</v>
      </c>
      <c r="W80" s="113">
        <v>0</v>
      </c>
      <c r="X80" s="112"/>
      <c r="Y80" s="113"/>
      <c r="Z80" s="87" t="str">
        <f t="shared" si="4"/>
        <v>PARANAGUA/LAPA</v>
      </c>
      <c r="AA80" s="87">
        <f>IFERROR(_xlfn.XLOOKUP(Z80,Rotas!C:C,Rotas!D:D),"0")</f>
        <v>153</v>
      </c>
      <c r="AB80" s="88" t="str">
        <f t="shared" si="5"/>
        <v>BWT</v>
      </c>
      <c r="AC80" s="21" t="str" cm="1">
        <f t="array" ref="AC80">IFERROR(
INDEX(
_xlfn._xlws.FILTER(
BWT!$C$1:$C$100,
ISNUMBER(FIND(
SUBSTITUTE(BWT!$C$1:$C$100," ",""),
SUBSTITUTE(SUBSTITUTE(SUBSTITUTE(F80," ",""),"-",""),CHAR(160),"")
))
),
1
),
"")</f>
        <v>BBM5I48</v>
      </c>
    </row>
    <row r="81" spans="1:29" hidden="1" x14ac:dyDescent="0.3">
      <c r="A81" s="112" t="s">
        <v>560</v>
      </c>
      <c r="B81" s="112" t="s">
        <v>165</v>
      </c>
      <c r="C81" s="112" t="s">
        <v>522</v>
      </c>
      <c r="D81" s="112" t="s">
        <v>561</v>
      </c>
      <c r="E81" s="112" t="s">
        <v>562</v>
      </c>
      <c r="F81" s="112" t="s">
        <v>563</v>
      </c>
      <c r="G81" s="112" t="s">
        <v>564</v>
      </c>
      <c r="H81" s="112" t="s">
        <v>565</v>
      </c>
      <c r="I81" s="112" t="s">
        <v>172</v>
      </c>
      <c r="J81" s="112" t="s">
        <v>242</v>
      </c>
      <c r="K81" s="112" t="s">
        <v>243</v>
      </c>
      <c r="L81" s="112" t="s">
        <v>244</v>
      </c>
      <c r="M81" s="112" t="s">
        <v>566</v>
      </c>
      <c r="N81" s="112" t="s">
        <v>566</v>
      </c>
      <c r="O81" s="112" t="s">
        <v>244</v>
      </c>
      <c r="P81" s="112" t="s">
        <v>244</v>
      </c>
      <c r="Q81" s="112" t="s">
        <v>567</v>
      </c>
      <c r="R81" s="112">
        <v>58168</v>
      </c>
      <c r="S81" s="112">
        <v>47180</v>
      </c>
      <c r="T81" s="113">
        <v>10246.16</v>
      </c>
      <c r="U81" s="113">
        <v>9016.6200000000008</v>
      </c>
      <c r="V81" s="113">
        <v>0</v>
      </c>
      <c r="W81" s="113">
        <v>1229.54</v>
      </c>
      <c r="X81" s="121">
        <v>0.12</v>
      </c>
      <c r="Y81" s="113">
        <v>10246.16</v>
      </c>
      <c r="Z81" s="87" t="str">
        <f t="shared" si="4"/>
        <v>PARANACITY/ITAJAI</v>
      </c>
      <c r="AA81" s="87">
        <f>IFERROR(_xlfn.XLOOKUP(Z81,Rotas!C:C,Rotas!D:D),"0")</f>
        <v>716</v>
      </c>
      <c r="AB81" s="88" t="str">
        <f t="shared" si="5"/>
        <v>SUBCONTRATADO</v>
      </c>
      <c r="AC81" s="21" cm="1">
        <f t="array" ref="AC81">IFERROR(
INDEX(
_xlfn._xlws.FILTER(
BWT!$C$1:$C$100,
ISNUMBER(FIND(
SUBSTITUTE(BWT!$C$1:$C$100," ",""),
SUBSTITUTE(SUBSTITUTE(SUBSTITUTE(F81," ",""),"-",""),CHAR(160),"")
))
),
1
),
"")</f>
        <v>0</v>
      </c>
    </row>
    <row r="82" spans="1:29" hidden="1" x14ac:dyDescent="0.3">
      <c r="A82" s="112" t="s">
        <v>525</v>
      </c>
      <c r="B82" s="112" t="s">
        <v>165</v>
      </c>
      <c r="C82" s="112" t="s">
        <v>522</v>
      </c>
      <c r="D82" s="112" t="s">
        <v>526</v>
      </c>
      <c r="E82" s="112" t="s">
        <v>527</v>
      </c>
      <c r="F82" s="112" t="s">
        <v>229</v>
      </c>
      <c r="G82" s="112" t="s">
        <v>230</v>
      </c>
      <c r="H82" s="112" t="s">
        <v>171</v>
      </c>
      <c r="I82" s="112" t="s">
        <v>172</v>
      </c>
      <c r="J82" s="112" t="s">
        <v>173</v>
      </c>
      <c r="K82" s="112" t="s">
        <v>174</v>
      </c>
      <c r="L82" s="112" t="s">
        <v>175</v>
      </c>
      <c r="M82" s="112" t="s">
        <v>176</v>
      </c>
      <c r="N82" s="112" t="s">
        <v>176</v>
      </c>
      <c r="O82" s="112" t="s">
        <v>175</v>
      </c>
      <c r="P82" s="112" t="s">
        <v>175</v>
      </c>
      <c r="Q82" s="112" t="s">
        <v>177</v>
      </c>
      <c r="R82" s="112">
        <v>48060</v>
      </c>
      <c r="S82" s="112">
        <v>73860</v>
      </c>
      <c r="T82" s="113">
        <v>10765.44</v>
      </c>
      <c r="U82" s="113">
        <v>8900.9699999999993</v>
      </c>
      <c r="V82" s="113">
        <v>650.70000000000005</v>
      </c>
      <c r="W82" s="113">
        <v>1213.77</v>
      </c>
      <c r="X82" s="121">
        <v>0.12</v>
      </c>
      <c r="Y82" s="113">
        <v>10114.74</v>
      </c>
      <c r="Z82" s="87" t="str">
        <f t="shared" si="4"/>
        <v>PARANAGUA/IJUI</v>
      </c>
      <c r="AA82" s="87">
        <f>IFERROR(_xlfn.XLOOKUP(Z82,Rotas!C:C,Rotas!D:D),"0")</f>
        <v>800</v>
      </c>
      <c r="AB82" s="88" t="str">
        <f t="shared" si="5"/>
        <v>BWT</v>
      </c>
      <c r="AC82" s="21" t="str" cm="1">
        <f t="array" ref="AC82">IFERROR(
INDEX(
_xlfn._xlws.FILTER(
BWT!$C$1:$C$100,
ISNUMBER(FIND(
SUBSTITUTE(BWT!$C$1:$C$100," ",""),
SUBSTITUTE(SUBSTITUTE(SUBSTITUTE(F82," ",""),"-",""),CHAR(160),"")
))
),
1
),
"")</f>
        <v>SEE0I38</v>
      </c>
    </row>
    <row r="83" spans="1:29" hidden="1" x14ac:dyDescent="0.3">
      <c r="A83" s="112" t="s">
        <v>557</v>
      </c>
      <c r="B83" s="112" t="s">
        <v>165</v>
      </c>
      <c r="C83" s="112" t="s">
        <v>522</v>
      </c>
      <c r="D83" s="112" t="s">
        <v>558</v>
      </c>
      <c r="E83" s="112" t="s">
        <v>559</v>
      </c>
      <c r="F83" s="112" t="s">
        <v>329</v>
      </c>
      <c r="G83" s="112" t="s">
        <v>330</v>
      </c>
      <c r="H83" s="112" t="s">
        <v>171</v>
      </c>
      <c r="I83" s="112" t="s">
        <v>172</v>
      </c>
      <c r="J83" s="112" t="s">
        <v>272</v>
      </c>
      <c r="K83" s="112" t="s">
        <v>174</v>
      </c>
      <c r="L83" s="112" t="s">
        <v>273</v>
      </c>
      <c r="M83" s="112" t="s">
        <v>274</v>
      </c>
      <c r="N83" s="112" t="s">
        <v>176</v>
      </c>
      <c r="O83" s="112" t="s">
        <v>273</v>
      </c>
      <c r="P83" s="112" t="s">
        <v>273</v>
      </c>
      <c r="Q83" s="112" t="s">
        <v>177</v>
      </c>
      <c r="R83" s="112">
        <v>48220</v>
      </c>
      <c r="S83" s="112">
        <v>73820</v>
      </c>
      <c r="T83" s="113">
        <v>10367.299999999999</v>
      </c>
      <c r="U83" s="113">
        <v>8588.6200000000008</v>
      </c>
      <c r="V83" s="113">
        <v>607.5</v>
      </c>
      <c r="W83" s="113">
        <v>1171.18</v>
      </c>
      <c r="X83" s="121">
        <v>0.12</v>
      </c>
      <c r="Y83" s="113">
        <v>9759.7999999999993</v>
      </c>
      <c r="Z83" s="87" t="str">
        <f t="shared" si="4"/>
        <v>PARANAGUA/MUITOS CAPOES</v>
      </c>
      <c r="AA83" s="87">
        <f>IFERROR(_xlfn.XLOOKUP(Z83,Rotas!C:C,Rotas!D:D),"0")</f>
        <v>581</v>
      </c>
      <c r="AB83" s="88" t="str">
        <f t="shared" si="5"/>
        <v>BWT</v>
      </c>
      <c r="AC83" s="21" t="str" cm="1">
        <f t="array" ref="AC83">IFERROR(
INDEX(
_xlfn._xlws.FILTER(
BWT!$C$1:$C$100,
ISNUMBER(FIND(
SUBSTITUTE(BWT!$C$1:$C$100," ",""),
SUBSTITUTE(SUBSTITUTE(SUBSTITUTE(F83," ",""),"-",""),CHAR(160),"")
))
),
1
),
"")</f>
        <v>SFC5F71</v>
      </c>
    </row>
    <row r="84" spans="1:29" hidden="1" x14ac:dyDescent="0.3">
      <c r="A84" s="112" t="s">
        <v>528</v>
      </c>
      <c r="B84" s="112" t="s">
        <v>165</v>
      </c>
      <c r="C84" s="112" t="s">
        <v>522</v>
      </c>
      <c r="D84" s="112" t="s">
        <v>529</v>
      </c>
      <c r="E84" s="112" t="s">
        <v>530</v>
      </c>
      <c r="F84" s="112" t="s">
        <v>88</v>
      </c>
      <c r="G84" s="112" t="s">
        <v>371</v>
      </c>
      <c r="H84" s="112" t="s">
        <v>171</v>
      </c>
      <c r="I84" s="112" t="s">
        <v>172</v>
      </c>
      <c r="J84" s="112" t="s">
        <v>183</v>
      </c>
      <c r="K84" s="112" t="s">
        <v>172</v>
      </c>
      <c r="L84" s="112" t="s">
        <v>184</v>
      </c>
      <c r="M84" s="112" t="s">
        <v>176</v>
      </c>
      <c r="N84" s="112" t="s">
        <v>176</v>
      </c>
      <c r="O84" s="112" t="s">
        <v>184</v>
      </c>
      <c r="P84" s="112" t="s">
        <v>184</v>
      </c>
      <c r="Q84" s="112" t="s">
        <v>177</v>
      </c>
      <c r="R84" s="112">
        <v>47772</v>
      </c>
      <c r="S84" s="112">
        <v>73792</v>
      </c>
      <c r="T84" s="113">
        <v>4378.3</v>
      </c>
      <c r="U84" s="113">
        <v>4378.3</v>
      </c>
      <c r="V84" s="113">
        <v>0</v>
      </c>
      <c r="W84" s="113">
        <v>0</v>
      </c>
      <c r="X84" s="112"/>
      <c r="Y84" s="113"/>
      <c r="Z84" s="87" t="str">
        <f t="shared" si="4"/>
        <v>PARANAGUA/LAPA</v>
      </c>
      <c r="AA84" s="87">
        <f>IFERROR(_xlfn.XLOOKUP(Z84,Rotas!C:C,Rotas!D:D),"0")</f>
        <v>153</v>
      </c>
      <c r="AB84" s="88" t="str">
        <f t="shared" si="5"/>
        <v>BWT</v>
      </c>
      <c r="AC84" s="21" t="str" cm="1">
        <f t="array" ref="AC84">IFERROR(
INDEX(
_xlfn._xlws.FILTER(
BWT!$C$1:$C$100,
ISNUMBER(FIND(
SUBSTITUTE(BWT!$C$1:$C$100," ",""),
SUBSTITUTE(SUBSTITUTE(SUBSTITUTE(F84," ",""),"-",""),CHAR(160),"")
))
),
1
),
"")</f>
        <v>BDQ4E39</v>
      </c>
    </row>
    <row r="85" spans="1:29" hidden="1" x14ac:dyDescent="0.3">
      <c r="A85" s="112" t="s">
        <v>531</v>
      </c>
      <c r="B85" s="112" t="s">
        <v>165</v>
      </c>
      <c r="C85" s="112" t="s">
        <v>522</v>
      </c>
      <c r="D85" s="112" t="s">
        <v>532</v>
      </c>
      <c r="E85" s="112" t="s">
        <v>533</v>
      </c>
      <c r="F85" s="112" t="s">
        <v>322</v>
      </c>
      <c r="G85" s="112" t="s">
        <v>323</v>
      </c>
      <c r="H85" s="112" t="s">
        <v>171</v>
      </c>
      <c r="I85" s="112" t="s">
        <v>172</v>
      </c>
      <c r="J85" s="112" t="s">
        <v>173</v>
      </c>
      <c r="K85" s="112" t="s">
        <v>174</v>
      </c>
      <c r="L85" s="112" t="s">
        <v>175</v>
      </c>
      <c r="M85" s="112" t="s">
        <v>176</v>
      </c>
      <c r="N85" s="112" t="s">
        <v>176</v>
      </c>
      <c r="O85" s="112" t="s">
        <v>175</v>
      </c>
      <c r="P85" s="112" t="s">
        <v>175</v>
      </c>
      <c r="Q85" s="112" t="s">
        <v>177</v>
      </c>
      <c r="R85" s="112">
        <v>48409</v>
      </c>
      <c r="S85" s="112">
        <v>73889</v>
      </c>
      <c r="T85" s="113">
        <v>10843.62</v>
      </c>
      <c r="U85" s="113">
        <v>8969.77</v>
      </c>
      <c r="V85" s="113">
        <v>650.70000000000005</v>
      </c>
      <c r="W85" s="113">
        <v>1223.1500000000001</v>
      </c>
      <c r="X85" s="121">
        <v>0.12</v>
      </c>
      <c r="Y85" s="113">
        <v>10192.92</v>
      </c>
      <c r="Z85" s="87" t="str">
        <f t="shared" si="4"/>
        <v>PARANAGUA/IJUI</v>
      </c>
      <c r="AA85" s="87">
        <f>IFERROR(_xlfn.XLOOKUP(Z85,Rotas!C:C,Rotas!D:D),"0")</f>
        <v>800</v>
      </c>
      <c r="AB85" s="88" t="str">
        <f t="shared" si="5"/>
        <v>BWT</v>
      </c>
      <c r="AC85" s="21" t="str" cm="1">
        <f t="array" ref="AC85">IFERROR(
INDEX(
_xlfn._xlws.FILTER(
BWT!$C$1:$C$100,
ISNUMBER(FIND(
SUBSTITUTE(BWT!$C$1:$C$100," ",""),
SUBSTITUTE(SUBSTITUTE(SUBSTITUTE(F85," ",""),"-",""),CHAR(160),"")
))
),
1
),
"")</f>
        <v>TAW2A61</v>
      </c>
    </row>
    <row r="86" spans="1:29" hidden="1" x14ac:dyDescent="0.3">
      <c r="A86" s="112" t="s">
        <v>534</v>
      </c>
      <c r="B86" s="112" t="s">
        <v>165</v>
      </c>
      <c r="C86" s="112" t="s">
        <v>522</v>
      </c>
      <c r="D86" s="112" t="s">
        <v>535</v>
      </c>
      <c r="E86" s="112" t="s">
        <v>536</v>
      </c>
      <c r="F86" s="112" t="s">
        <v>181</v>
      </c>
      <c r="G86" s="112" t="s">
        <v>182</v>
      </c>
      <c r="H86" s="112" t="s">
        <v>171</v>
      </c>
      <c r="I86" s="112" t="s">
        <v>172</v>
      </c>
      <c r="J86" s="112" t="s">
        <v>183</v>
      </c>
      <c r="K86" s="112" t="s">
        <v>172</v>
      </c>
      <c r="L86" s="112" t="s">
        <v>184</v>
      </c>
      <c r="M86" s="112" t="s">
        <v>176</v>
      </c>
      <c r="N86" s="112" t="s">
        <v>176</v>
      </c>
      <c r="O86" s="112" t="s">
        <v>184</v>
      </c>
      <c r="P86" s="112" t="s">
        <v>184</v>
      </c>
      <c r="Q86" s="112" t="s">
        <v>177</v>
      </c>
      <c r="R86" s="112">
        <v>38384</v>
      </c>
      <c r="S86" s="112">
        <v>58344</v>
      </c>
      <c r="T86" s="113">
        <v>3942.04</v>
      </c>
      <c r="U86" s="113">
        <v>3942.04</v>
      </c>
      <c r="V86" s="113">
        <v>0</v>
      </c>
      <c r="W86" s="113">
        <v>0</v>
      </c>
      <c r="X86" s="112"/>
      <c r="Y86" s="113"/>
      <c r="Z86" s="87" t="str">
        <f t="shared" si="4"/>
        <v>PARANAGUA/LAPA</v>
      </c>
      <c r="AA86" s="87">
        <f>IFERROR(_xlfn.XLOOKUP(Z86,Rotas!C:C,Rotas!D:D),"0")</f>
        <v>153</v>
      </c>
      <c r="AB86" s="88" t="str">
        <f t="shared" si="5"/>
        <v>BWT</v>
      </c>
      <c r="AC86" s="21" t="str" cm="1">
        <f t="array" ref="AC86">IFERROR(
INDEX(
_xlfn._xlws.FILTER(
BWT!$C$1:$C$100,
ISNUMBER(FIND(
SUBSTITUTE(BWT!$C$1:$C$100," ",""),
SUBSTITUTE(SUBSTITUTE(SUBSTITUTE(F86," ",""),"-",""),CHAR(160),"")
))
),
1
),
"")</f>
        <v>BDF9C15</v>
      </c>
    </row>
    <row r="87" spans="1:29" hidden="1" x14ac:dyDescent="0.3">
      <c r="A87" s="112" t="s">
        <v>537</v>
      </c>
      <c r="B87" s="112" t="s">
        <v>165</v>
      </c>
      <c r="C87" s="112" t="s">
        <v>522</v>
      </c>
      <c r="D87" s="112" t="s">
        <v>538</v>
      </c>
      <c r="E87" s="112" t="s">
        <v>539</v>
      </c>
      <c r="F87" s="112" t="s">
        <v>208</v>
      </c>
      <c r="G87" s="112" t="s">
        <v>209</v>
      </c>
      <c r="H87" s="112" t="s">
        <v>171</v>
      </c>
      <c r="I87" s="112" t="s">
        <v>172</v>
      </c>
      <c r="J87" s="112" t="s">
        <v>183</v>
      </c>
      <c r="K87" s="112" t="s">
        <v>172</v>
      </c>
      <c r="L87" s="112" t="s">
        <v>184</v>
      </c>
      <c r="M87" s="112" t="s">
        <v>176</v>
      </c>
      <c r="N87" s="112" t="s">
        <v>176</v>
      </c>
      <c r="O87" s="112" t="s">
        <v>184</v>
      </c>
      <c r="P87" s="112" t="s">
        <v>184</v>
      </c>
      <c r="Q87" s="112" t="s">
        <v>177</v>
      </c>
      <c r="R87" s="112">
        <v>39084</v>
      </c>
      <c r="S87" s="112">
        <v>58284</v>
      </c>
      <c r="T87" s="113">
        <v>4013.93</v>
      </c>
      <c r="U87" s="113">
        <v>4013.93</v>
      </c>
      <c r="V87" s="113">
        <v>0</v>
      </c>
      <c r="W87" s="113">
        <v>0</v>
      </c>
      <c r="X87" s="112"/>
      <c r="Y87" s="113"/>
      <c r="Z87" s="89" t="str">
        <f t="shared" si="4"/>
        <v>PARANAGUA/LAPA</v>
      </c>
      <c r="AA87" s="89">
        <f>IFERROR(_xlfn.XLOOKUP(Z87,Rotas!C:C,Rotas!D:D),"0")</f>
        <v>153</v>
      </c>
      <c r="AB87" s="88" t="str">
        <f t="shared" si="5"/>
        <v>BWT</v>
      </c>
      <c r="AC87" s="21" t="str" cm="1">
        <f t="array" ref="AC87">IFERROR(
INDEX(
_xlfn._xlws.FILTER(
BWT!$C$1:$C$100,
ISNUMBER(FIND(
SUBSTITUTE(BWT!$C$1:$C$100," ",""),
SUBSTITUTE(SUBSTITUTE(SUBSTITUTE(F87," ",""),"-",""),CHAR(160),"")
))
),
1
),
"")</f>
        <v>AWZ2403</v>
      </c>
    </row>
    <row r="88" spans="1:29" hidden="1" x14ac:dyDescent="0.3">
      <c r="A88" s="112" t="s">
        <v>577</v>
      </c>
      <c r="B88" s="112" t="s">
        <v>165</v>
      </c>
      <c r="C88" s="112" t="s">
        <v>522</v>
      </c>
      <c r="D88" s="112" t="s">
        <v>578</v>
      </c>
      <c r="E88" s="112" t="s">
        <v>579</v>
      </c>
      <c r="F88" s="112" t="s">
        <v>340</v>
      </c>
      <c r="G88" s="112" t="s">
        <v>341</v>
      </c>
      <c r="H88" s="112" t="s">
        <v>171</v>
      </c>
      <c r="I88" s="112" t="s">
        <v>172</v>
      </c>
      <c r="J88" s="112" t="s">
        <v>580</v>
      </c>
      <c r="K88" s="112" t="s">
        <v>174</v>
      </c>
      <c r="L88" s="112" t="s">
        <v>244</v>
      </c>
      <c r="M88" s="112" t="s">
        <v>244</v>
      </c>
      <c r="N88" s="112" t="s">
        <v>176</v>
      </c>
      <c r="O88" s="112" t="s">
        <v>254</v>
      </c>
      <c r="P88" s="112" t="s">
        <v>254</v>
      </c>
      <c r="Q88" s="112" t="s">
        <v>498</v>
      </c>
      <c r="R88" s="112">
        <v>58563</v>
      </c>
      <c r="S88" s="112">
        <v>48262</v>
      </c>
      <c r="T88" s="113">
        <v>12298.23</v>
      </c>
      <c r="U88" s="113">
        <v>12298.23</v>
      </c>
      <c r="V88" s="113">
        <v>0</v>
      </c>
      <c r="W88" s="113">
        <v>0</v>
      </c>
      <c r="X88" s="112"/>
      <c r="Y88" s="113"/>
      <c r="Z88" s="87" t="str">
        <f t="shared" si="4"/>
        <v>PARANAGUA/PASSO FUNDO</v>
      </c>
      <c r="AA88" s="87">
        <f>IFERROR(_xlfn.XLOOKUP(Z88,Rotas!C:C,Rotas!D:D),"0")</f>
        <v>636</v>
      </c>
      <c r="AB88" s="88" t="str">
        <f t="shared" si="5"/>
        <v>BWT</v>
      </c>
      <c r="AC88" s="21" t="str" cm="1">
        <f t="array" ref="AC88">IFERROR(
INDEX(
_xlfn._xlws.FILTER(
BWT!$C$1:$C$100,
ISNUMBER(FIND(
SUBSTITUTE(BWT!$C$1:$C$100," ",""),
SUBSTITUTE(SUBSTITUTE(SUBSTITUTE(F88," ",""),"-",""),CHAR(160),"")
))
),
1
),
"")</f>
        <v>RHI3D46</v>
      </c>
    </row>
    <row r="89" spans="1:29" hidden="1" x14ac:dyDescent="0.3">
      <c r="A89" s="112" t="s">
        <v>581</v>
      </c>
      <c r="B89" s="112" t="s">
        <v>226</v>
      </c>
      <c r="C89" s="112" t="s">
        <v>582</v>
      </c>
      <c r="D89" s="112" t="s">
        <v>583</v>
      </c>
      <c r="E89" s="112"/>
      <c r="F89" s="112" t="s">
        <v>419</v>
      </c>
      <c r="G89" s="112" t="s">
        <v>420</v>
      </c>
      <c r="H89" s="112"/>
      <c r="I89" s="112" t="s">
        <v>232</v>
      </c>
      <c r="J89" s="112"/>
      <c r="K89" s="112" t="s">
        <v>174</v>
      </c>
      <c r="L89" s="112" t="s">
        <v>217</v>
      </c>
      <c r="M89" s="112" t="s">
        <v>234</v>
      </c>
      <c r="N89" s="112" t="s">
        <v>234</v>
      </c>
      <c r="O89" s="112" t="s">
        <v>217</v>
      </c>
      <c r="P89" s="112" t="s">
        <v>217</v>
      </c>
      <c r="Q89" s="112"/>
      <c r="R89" s="112"/>
      <c r="S89" s="112"/>
      <c r="T89" s="113">
        <v>163.87</v>
      </c>
      <c r="U89" s="113">
        <v>163.87</v>
      </c>
      <c r="V89" s="113">
        <v>0</v>
      </c>
      <c r="W89" s="113">
        <v>0</v>
      </c>
      <c r="X89" s="121">
        <v>0.12</v>
      </c>
      <c r="Y89" s="113">
        <v>163.87</v>
      </c>
      <c r="Z89" s="87" t="str">
        <f t="shared" si="4"/>
        <v>CT-e COMPLEMENTAR</v>
      </c>
      <c r="AA89" s="87" t="str">
        <f>IFERROR(_xlfn.XLOOKUP(Z89,Rotas!C:C,Rotas!D:D),"0")</f>
        <v>0</v>
      </c>
      <c r="AB89" s="88" t="str">
        <f t="shared" si="5"/>
        <v>BWT</v>
      </c>
      <c r="AC89" s="21" t="str" cm="1">
        <f t="array" ref="AC89">IFERROR(
INDEX(
_xlfn._xlws.FILTER(
BWT!$C$1:$C$100,
ISNUMBER(FIND(
SUBSTITUTE(BWT!$C$1:$C$100," ",""),
SUBSTITUTE(SUBSTITUTE(SUBSTITUTE(F89," ",""),"-",""),CHAR(160),"")
))
),
1
),
"")</f>
        <v>SEE2J87</v>
      </c>
    </row>
    <row r="90" spans="1:29" hidden="1" x14ac:dyDescent="0.3">
      <c r="A90" s="112" t="s">
        <v>584</v>
      </c>
      <c r="B90" s="112" t="s">
        <v>226</v>
      </c>
      <c r="C90" s="112" t="s">
        <v>582</v>
      </c>
      <c r="D90" s="112" t="s">
        <v>585</v>
      </c>
      <c r="E90" s="112"/>
      <c r="F90" s="112" t="s">
        <v>586</v>
      </c>
      <c r="G90" s="112" t="s">
        <v>587</v>
      </c>
      <c r="H90" s="112"/>
      <c r="I90" s="112" t="s">
        <v>232</v>
      </c>
      <c r="J90" s="112"/>
      <c r="K90" s="112" t="s">
        <v>174</v>
      </c>
      <c r="L90" s="112" t="s">
        <v>217</v>
      </c>
      <c r="M90" s="112" t="s">
        <v>234</v>
      </c>
      <c r="N90" s="112" t="s">
        <v>234</v>
      </c>
      <c r="O90" s="112" t="s">
        <v>217</v>
      </c>
      <c r="P90" s="112" t="s">
        <v>217</v>
      </c>
      <c r="Q90" s="112"/>
      <c r="R90" s="112"/>
      <c r="S90" s="112"/>
      <c r="T90" s="113">
        <v>194.01</v>
      </c>
      <c r="U90" s="113">
        <v>194.01</v>
      </c>
      <c r="V90" s="113">
        <v>0</v>
      </c>
      <c r="W90" s="113">
        <v>0</v>
      </c>
      <c r="X90" s="121">
        <v>0.12</v>
      </c>
      <c r="Y90" s="113">
        <v>194.01</v>
      </c>
      <c r="Z90" s="87" t="str">
        <f t="shared" si="4"/>
        <v>CT-e COMPLEMENTAR</v>
      </c>
      <c r="AA90" s="87" t="str">
        <f>IFERROR(_xlfn.XLOOKUP(Z90,Rotas!C:C,Rotas!D:D),"0")</f>
        <v>0</v>
      </c>
      <c r="AB90" s="88" t="str">
        <f t="shared" si="5"/>
        <v>BWT</v>
      </c>
      <c r="AC90" s="21" t="str" cm="1">
        <f t="array" ref="AC90">IFERROR(
INDEX(
_xlfn._xlws.FILTER(
BWT!$C$1:$C$100,
ISNUMBER(FIND(
SUBSTITUTE(BWT!$C$1:$C$100," ",""),
SUBSTITUTE(SUBSTITUTE(SUBSTITUTE(F90," ",""),"-",""),CHAR(160),"")
))
),
1
),
"")</f>
        <v>SER6B09</v>
      </c>
    </row>
    <row r="91" spans="1:29" hidden="1" x14ac:dyDescent="0.3">
      <c r="A91" s="112" t="s">
        <v>588</v>
      </c>
      <c r="B91" s="112" t="s">
        <v>226</v>
      </c>
      <c r="C91" s="112" t="s">
        <v>582</v>
      </c>
      <c r="D91" s="112" t="s">
        <v>589</v>
      </c>
      <c r="E91" s="112"/>
      <c r="F91" s="112" t="s">
        <v>590</v>
      </c>
      <c r="G91" s="112" t="s">
        <v>591</v>
      </c>
      <c r="H91" s="112"/>
      <c r="I91" s="112" t="s">
        <v>232</v>
      </c>
      <c r="J91" s="112"/>
      <c r="K91" s="112" t="s">
        <v>174</v>
      </c>
      <c r="L91" s="112" t="s">
        <v>217</v>
      </c>
      <c r="M91" s="112" t="s">
        <v>592</v>
      </c>
      <c r="N91" s="112" t="s">
        <v>592</v>
      </c>
      <c r="O91" s="112" t="s">
        <v>217</v>
      </c>
      <c r="P91" s="112" t="s">
        <v>217</v>
      </c>
      <c r="Q91" s="112"/>
      <c r="R91" s="112"/>
      <c r="S91" s="112"/>
      <c r="T91" s="113">
        <v>172.54</v>
      </c>
      <c r="U91" s="113">
        <v>172.54</v>
      </c>
      <c r="V91" s="113">
        <v>0</v>
      </c>
      <c r="W91" s="113">
        <v>0</v>
      </c>
      <c r="X91" s="121">
        <v>0.12</v>
      </c>
      <c r="Y91" s="113">
        <v>172.54</v>
      </c>
      <c r="Z91" s="89" t="str">
        <f t="shared" si="4"/>
        <v>CT-e COMPLEMENTAR</v>
      </c>
      <c r="AA91" s="89" t="str">
        <f>IFERROR(_xlfn.XLOOKUP(Z91,Rotas!C:C,Rotas!D:D),"0")</f>
        <v>0</v>
      </c>
      <c r="AB91" s="97" t="str">
        <f t="shared" si="5"/>
        <v>BWT</v>
      </c>
      <c r="AC91" s="21" t="str" cm="1">
        <f t="array" ref="AC91">IFERROR(
INDEX(
_xlfn._xlws.FILTER(
BWT!$C$1:$C$100,
ISNUMBER(FIND(
SUBSTITUTE(BWT!$C$1:$C$100," ",""),
SUBSTITUTE(SUBSTITUTE(SUBSTITUTE(F91," ",""),"-",""),CHAR(160),"")
))
),
1
),
"")</f>
        <v>RHH5C95</v>
      </c>
    </row>
    <row r="92" spans="1:29" hidden="1" x14ac:dyDescent="0.3">
      <c r="A92" s="112" t="s">
        <v>593</v>
      </c>
      <c r="B92" s="112" t="s">
        <v>226</v>
      </c>
      <c r="C92" s="112" t="s">
        <v>582</v>
      </c>
      <c r="D92" s="112" t="s">
        <v>594</v>
      </c>
      <c r="E92" s="112"/>
      <c r="F92" s="112" t="s">
        <v>297</v>
      </c>
      <c r="G92" s="112" t="s">
        <v>298</v>
      </c>
      <c r="H92" s="112"/>
      <c r="I92" s="112" t="s">
        <v>232</v>
      </c>
      <c r="J92" s="112"/>
      <c r="K92" s="112" t="s">
        <v>174</v>
      </c>
      <c r="L92" s="112" t="s">
        <v>217</v>
      </c>
      <c r="M92" s="112" t="s">
        <v>234</v>
      </c>
      <c r="N92" s="112" t="s">
        <v>234</v>
      </c>
      <c r="O92" s="112" t="s">
        <v>217</v>
      </c>
      <c r="P92" s="112" t="s">
        <v>217</v>
      </c>
      <c r="Q92" s="112"/>
      <c r="R92" s="112"/>
      <c r="S92" s="112"/>
      <c r="T92" s="113">
        <v>226.03</v>
      </c>
      <c r="U92" s="113">
        <v>226.03</v>
      </c>
      <c r="V92" s="113">
        <v>0</v>
      </c>
      <c r="W92" s="113">
        <v>0</v>
      </c>
      <c r="X92" s="121">
        <v>0.12</v>
      </c>
      <c r="Y92" s="113">
        <v>226.03</v>
      </c>
      <c r="Z92" s="87" t="str">
        <f t="shared" si="4"/>
        <v>CT-e COMPLEMENTAR</v>
      </c>
      <c r="AA92" s="87" t="str">
        <f>IFERROR(_xlfn.XLOOKUP(Z92,Rotas!C:C,Rotas!D:D),"0")</f>
        <v>0</v>
      </c>
      <c r="AB92" s="88" t="str">
        <f t="shared" si="5"/>
        <v>BWT</v>
      </c>
      <c r="AC92" s="21" t="str" cm="1">
        <f t="array" ref="AC92">IFERROR(
INDEX(
_xlfn._xlws.FILTER(
BWT!$C$1:$C$100,
ISNUMBER(FIND(
SUBSTITUTE(BWT!$C$1:$C$100," ",""),
SUBSTITUTE(SUBSTITUTE(SUBSTITUTE(F92," ",""),"-",""),CHAR(160),"")
))
),
1
),
"")</f>
        <v>SEX2C73</v>
      </c>
    </row>
    <row r="93" spans="1:29" hidden="1" x14ac:dyDescent="0.3">
      <c r="A93" s="112" t="s">
        <v>595</v>
      </c>
      <c r="B93" s="112" t="s">
        <v>226</v>
      </c>
      <c r="C93" s="112" t="s">
        <v>582</v>
      </c>
      <c r="D93" s="112" t="s">
        <v>596</v>
      </c>
      <c r="E93" s="112" t="s">
        <v>597</v>
      </c>
      <c r="F93" s="112" t="s">
        <v>188</v>
      </c>
      <c r="G93" s="112" t="s">
        <v>189</v>
      </c>
      <c r="H93" s="112" t="s">
        <v>280</v>
      </c>
      <c r="I93" s="112" t="s">
        <v>232</v>
      </c>
      <c r="J93" s="112" t="s">
        <v>281</v>
      </c>
      <c r="K93" s="112" t="s">
        <v>232</v>
      </c>
      <c r="L93" s="112" t="s">
        <v>254</v>
      </c>
      <c r="M93" s="112" t="s">
        <v>254</v>
      </c>
      <c r="N93" s="112" t="s">
        <v>598</v>
      </c>
      <c r="O93" s="112" t="s">
        <v>217</v>
      </c>
      <c r="P93" s="112" t="s">
        <v>217</v>
      </c>
      <c r="Q93" s="112" t="s">
        <v>283</v>
      </c>
      <c r="R93" s="112">
        <v>63212</v>
      </c>
      <c r="S93" s="112">
        <v>45500</v>
      </c>
      <c r="T93" s="113">
        <v>3149.83</v>
      </c>
      <c r="U93" s="113">
        <v>2771.85</v>
      </c>
      <c r="V93" s="113">
        <v>0</v>
      </c>
      <c r="W93" s="113">
        <v>377.98</v>
      </c>
      <c r="X93" s="121">
        <v>0.12</v>
      </c>
      <c r="Y93" s="113">
        <v>3149.83</v>
      </c>
      <c r="Z93" s="87" t="str">
        <f t="shared" si="4"/>
        <v>SANTOS/PAULINIA</v>
      </c>
      <c r="AA93" s="87">
        <f>IFERROR(_xlfn.XLOOKUP(Z93,Rotas!C:C,Rotas!D:D),"0")</f>
        <v>215</v>
      </c>
      <c r="AB93" s="88" t="str">
        <f t="shared" si="5"/>
        <v>BWT</v>
      </c>
      <c r="AC93" s="21" t="str" cm="1">
        <f t="array" ref="AC93">IFERROR(
INDEX(
_xlfn._xlws.FILTER(
BWT!$C$1:$C$100,
ISNUMBER(FIND(
SUBSTITUTE(BWT!$C$1:$C$100," ",""),
SUBSTITUTE(SUBSTITUTE(SUBSTITUTE(F93," ",""),"-",""),CHAR(160),"")
))
),
1
),
"")</f>
        <v>BDQ4E29</v>
      </c>
    </row>
    <row r="94" spans="1:29" hidden="1" x14ac:dyDescent="0.3">
      <c r="A94" s="112" t="s">
        <v>599</v>
      </c>
      <c r="B94" s="112" t="s">
        <v>226</v>
      </c>
      <c r="C94" s="112" t="s">
        <v>582</v>
      </c>
      <c r="D94" s="112" t="s">
        <v>600</v>
      </c>
      <c r="E94" s="112" t="s">
        <v>601</v>
      </c>
      <c r="F94" s="112" t="s">
        <v>602</v>
      </c>
      <c r="G94" s="112" t="s">
        <v>603</v>
      </c>
      <c r="H94" s="112" t="s">
        <v>280</v>
      </c>
      <c r="I94" s="112" t="s">
        <v>232</v>
      </c>
      <c r="J94" s="112" t="s">
        <v>604</v>
      </c>
      <c r="K94" s="112" t="s">
        <v>172</v>
      </c>
      <c r="L94" s="112" t="s">
        <v>605</v>
      </c>
      <c r="M94" s="112" t="s">
        <v>605</v>
      </c>
      <c r="N94" s="112" t="s">
        <v>606</v>
      </c>
      <c r="O94" s="112" t="s">
        <v>605</v>
      </c>
      <c r="P94" s="112" t="s">
        <v>605</v>
      </c>
      <c r="Q94" s="112" t="s">
        <v>283</v>
      </c>
      <c r="R94" s="112">
        <v>60715</v>
      </c>
      <c r="S94" s="112" t="s">
        <v>607</v>
      </c>
      <c r="T94" s="113">
        <v>8500.1</v>
      </c>
      <c r="U94" s="113">
        <v>7480.09</v>
      </c>
      <c r="V94" s="113">
        <v>0</v>
      </c>
      <c r="W94" s="113">
        <v>1020.01</v>
      </c>
      <c r="X94" s="121">
        <v>0.12</v>
      </c>
      <c r="Y94" s="113">
        <v>8500.1</v>
      </c>
      <c r="Z94" s="87" t="str">
        <f t="shared" si="4"/>
        <v>SANTOS/CIANORTE</v>
      </c>
      <c r="AA94" s="87">
        <f>IFERROR(_xlfn.XLOOKUP(Z94,Rotas!C:C,Rotas!D:D),"0")</f>
        <v>794</v>
      </c>
      <c r="AB94" s="88" t="str">
        <f t="shared" si="5"/>
        <v>BWT</v>
      </c>
      <c r="AC94" s="21" t="str" cm="1">
        <f t="array" ref="AC94">IFERROR(
INDEX(
_xlfn._xlws.FILTER(
BWT!$C$1:$C$100,
ISNUMBER(FIND(
SUBSTITUTE(BWT!$C$1:$C$100," ",""),
SUBSTITUTE(SUBSTITUTE(SUBSTITUTE(F94," ",""),"-",""),CHAR(160),"")
))
),
1
),
"")</f>
        <v>RHH5C92</v>
      </c>
    </row>
    <row r="95" spans="1:29" hidden="1" x14ac:dyDescent="0.3">
      <c r="A95" s="112" t="s">
        <v>608</v>
      </c>
      <c r="B95" s="112" t="s">
        <v>226</v>
      </c>
      <c r="C95" s="112" t="s">
        <v>582</v>
      </c>
      <c r="D95" s="112" t="s">
        <v>609</v>
      </c>
      <c r="E95" s="112" t="s">
        <v>610</v>
      </c>
      <c r="F95" s="112" t="s">
        <v>403</v>
      </c>
      <c r="G95" s="112" t="s">
        <v>189</v>
      </c>
      <c r="H95" s="112" t="s">
        <v>280</v>
      </c>
      <c r="I95" s="112" t="s">
        <v>232</v>
      </c>
      <c r="J95" s="112" t="s">
        <v>281</v>
      </c>
      <c r="K95" s="112" t="s">
        <v>232</v>
      </c>
      <c r="L95" s="112" t="s">
        <v>254</v>
      </c>
      <c r="M95" s="112" t="s">
        <v>254</v>
      </c>
      <c r="N95" s="112" t="s">
        <v>598</v>
      </c>
      <c r="O95" s="112" t="s">
        <v>217</v>
      </c>
      <c r="P95" s="112" t="s">
        <v>217</v>
      </c>
      <c r="Q95" s="112" t="s">
        <v>283</v>
      </c>
      <c r="R95" s="112">
        <v>61241</v>
      </c>
      <c r="S95" s="112">
        <v>44118</v>
      </c>
      <c r="T95" s="113">
        <v>3149.74</v>
      </c>
      <c r="U95" s="113">
        <v>2771.77</v>
      </c>
      <c r="V95" s="113">
        <v>0</v>
      </c>
      <c r="W95" s="113">
        <v>377.97</v>
      </c>
      <c r="X95" s="121">
        <v>0.12</v>
      </c>
      <c r="Y95" s="113">
        <v>3149.74</v>
      </c>
      <c r="Z95" s="87" t="str">
        <f t="shared" si="4"/>
        <v>SANTOS/PAULINIA</v>
      </c>
      <c r="AA95" s="87">
        <f>IFERROR(_xlfn.XLOOKUP(Z95,Rotas!C:C,Rotas!D:D),"0")</f>
        <v>215</v>
      </c>
      <c r="AB95" s="88" t="str">
        <f t="shared" si="5"/>
        <v>BWT</v>
      </c>
      <c r="AC95" s="21" t="str" cm="1">
        <f t="array" ref="AC95">IFERROR(
INDEX(
_xlfn._xlws.FILTER(
BWT!$C$1:$C$100,
ISNUMBER(FIND(
SUBSTITUTE(BWT!$C$1:$C$100," ",""),
SUBSTITUTE(SUBSTITUTE(SUBSTITUTE(F95," ",""),"-",""),CHAR(160),"")
))
),
1
),
"")</f>
        <v>SEE2J86</v>
      </c>
    </row>
    <row r="96" spans="1:29" hidden="1" x14ac:dyDescent="0.3">
      <c r="A96" s="112" t="s">
        <v>611</v>
      </c>
      <c r="B96" s="112" t="s">
        <v>226</v>
      </c>
      <c r="C96" s="112" t="s">
        <v>582</v>
      </c>
      <c r="D96" s="112" t="s">
        <v>612</v>
      </c>
      <c r="E96" s="112" t="s">
        <v>613</v>
      </c>
      <c r="F96" s="112" t="s">
        <v>385</v>
      </c>
      <c r="G96" s="112" t="s">
        <v>386</v>
      </c>
      <c r="H96" s="112" t="s">
        <v>280</v>
      </c>
      <c r="I96" s="112" t="s">
        <v>232</v>
      </c>
      <c r="J96" s="112" t="s">
        <v>281</v>
      </c>
      <c r="K96" s="112" t="s">
        <v>232</v>
      </c>
      <c r="L96" s="112" t="s">
        <v>254</v>
      </c>
      <c r="M96" s="112" t="s">
        <v>254</v>
      </c>
      <c r="N96" s="112" t="s">
        <v>598</v>
      </c>
      <c r="O96" s="112" t="s">
        <v>217</v>
      </c>
      <c r="P96" s="112" t="s">
        <v>217</v>
      </c>
      <c r="Q96" s="112" t="s">
        <v>283</v>
      </c>
      <c r="R96" s="112">
        <v>63309</v>
      </c>
      <c r="S96" s="112">
        <v>45570</v>
      </c>
      <c r="T96" s="113">
        <v>3150.34</v>
      </c>
      <c r="U96" s="113">
        <v>2772.3</v>
      </c>
      <c r="V96" s="113">
        <v>0</v>
      </c>
      <c r="W96" s="113">
        <v>378.04</v>
      </c>
      <c r="X96" s="121">
        <v>0.12</v>
      </c>
      <c r="Y96" s="113">
        <v>3150.34</v>
      </c>
      <c r="Z96" s="87" t="str">
        <f t="shared" si="4"/>
        <v>SANTOS/PAULINIA</v>
      </c>
      <c r="AA96" s="87">
        <f>IFERROR(_xlfn.XLOOKUP(Z96,Rotas!C:C,Rotas!D:D),"0")</f>
        <v>215</v>
      </c>
      <c r="AB96" s="88" t="str">
        <f t="shared" si="5"/>
        <v>BWT</v>
      </c>
      <c r="AC96" s="21" t="str" cm="1">
        <f t="array" ref="AC96">IFERROR(
INDEX(
_xlfn._xlws.FILTER(
BWT!$C$1:$C$100,
ISNUMBER(FIND(
SUBSTITUTE(BWT!$C$1:$C$100," ",""),
SUBSTITUTE(SUBSTITUTE(SUBSTITUTE(F96," ",""),"-",""),CHAR(160),"")
))
),
1
),
"")</f>
        <v>SEX2C75</v>
      </c>
    </row>
    <row r="97" spans="1:29" hidden="1" x14ac:dyDescent="0.3">
      <c r="A97" s="112" t="s">
        <v>614</v>
      </c>
      <c r="B97" s="112" t="s">
        <v>226</v>
      </c>
      <c r="C97" s="112" t="s">
        <v>582</v>
      </c>
      <c r="D97" s="112" t="s">
        <v>615</v>
      </c>
      <c r="E97" s="112" t="s">
        <v>616</v>
      </c>
      <c r="F97" s="112" t="s">
        <v>278</v>
      </c>
      <c r="G97" s="112" t="s">
        <v>279</v>
      </c>
      <c r="H97" s="112" t="s">
        <v>280</v>
      </c>
      <c r="I97" s="112" t="s">
        <v>232</v>
      </c>
      <c r="J97" s="112" t="s">
        <v>281</v>
      </c>
      <c r="K97" s="112" t="s">
        <v>232</v>
      </c>
      <c r="L97" s="112" t="s">
        <v>254</v>
      </c>
      <c r="M97" s="112" t="s">
        <v>254</v>
      </c>
      <c r="N97" s="112" t="s">
        <v>598</v>
      </c>
      <c r="O97" s="112" t="s">
        <v>217</v>
      </c>
      <c r="P97" s="112" t="s">
        <v>217</v>
      </c>
      <c r="Q97" s="112" t="s">
        <v>283</v>
      </c>
      <c r="R97" s="112">
        <v>61281</v>
      </c>
      <c r="S97" s="112">
        <v>44110</v>
      </c>
      <c r="T97" s="113">
        <v>3149.7</v>
      </c>
      <c r="U97" s="113">
        <v>2771.74</v>
      </c>
      <c r="V97" s="113">
        <v>0</v>
      </c>
      <c r="W97" s="113">
        <v>377.96</v>
      </c>
      <c r="X97" s="121">
        <v>0.12</v>
      </c>
      <c r="Y97" s="113">
        <v>3149.7</v>
      </c>
      <c r="Z97" s="87" t="str">
        <f t="shared" si="4"/>
        <v>SANTOS/PAULINIA</v>
      </c>
      <c r="AA97" s="87">
        <f>IFERROR(_xlfn.XLOOKUP(Z97,Rotas!C:C,Rotas!D:D),"0")</f>
        <v>215</v>
      </c>
      <c r="AB97" s="88" t="str">
        <f t="shared" si="5"/>
        <v>BWT</v>
      </c>
      <c r="AC97" s="21" t="str" cm="1">
        <f t="array" ref="AC97">IFERROR(
INDEX(
_xlfn._xlws.FILTER(
BWT!$C$1:$C$100,
ISNUMBER(FIND(
SUBSTITUTE(BWT!$C$1:$C$100," ",""),
SUBSTITUTE(SUBSTITUTE(SUBSTITUTE(F97," ",""),"-",""),CHAR(160),"")
))
),
1
),
"")</f>
        <v>TAW8C01</v>
      </c>
    </row>
    <row r="98" spans="1:29" hidden="1" x14ac:dyDescent="0.3">
      <c r="A98" s="112" t="s">
        <v>617</v>
      </c>
      <c r="B98" s="112" t="s">
        <v>226</v>
      </c>
      <c r="C98" s="112" t="s">
        <v>582</v>
      </c>
      <c r="D98" s="112" t="s">
        <v>618</v>
      </c>
      <c r="E98" s="112" t="s">
        <v>619</v>
      </c>
      <c r="F98" s="112" t="s">
        <v>307</v>
      </c>
      <c r="G98" s="112" t="s">
        <v>308</v>
      </c>
      <c r="H98" s="112" t="s">
        <v>280</v>
      </c>
      <c r="I98" s="112" t="s">
        <v>232</v>
      </c>
      <c r="J98" s="112" t="s">
        <v>281</v>
      </c>
      <c r="K98" s="112" t="s">
        <v>232</v>
      </c>
      <c r="L98" s="112" t="s">
        <v>254</v>
      </c>
      <c r="M98" s="112" t="s">
        <v>254</v>
      </c>
      <c r="N98" s="112" t="s">
        <v>598</v>
      </c>
      <c r="O98" s="112" t="s">
        <v>217</v>
      </c>
      <c r="P98" s="112" t="s">
        <v>217</v>
      </c>
      <c r="Q98" s="112" t="s">
        <v>283</v>
      </c>
      <c r="R98" s="112">
        <v>49350</v>
      </c>
      <c r="S98" s="112">
        <v>35552</v>
      </c>
      <c r="T98" s="113">
        <v>2359.83</v>
      </c>
      <c r="U98" s="113">
        <v>2076.65</v>
      </c>
      <c r="V98" s="113">
        <v>0</v>
      </c>
      <c r="W98" s="113">
        <v>283.18</v>
      </c>
      <c r="X98" s="121">
        <v>0.12</v>
      </c>
      <c r="Y98" s="113">
        <v>2359.83</v>
      </c>
      <c r="Z98" s="87" t="str">
        <f t="shared" ref="Z98:Z129" si="6">IF(H98&amp;J98="","CT-e COMPLEMENTAR",H98&amp;"/"&amp;J98)</f>
        <v>SANTOS/PAULINIA</v>
      </c>
      <c r="AA98" s="87">
        <f>IFERROR(_xlfn.XLOOKUP(Z98,Rotas!C:C,Rotas!D:D),"0")</f>
        <v>215</v>
      </c>
      <c r="AB98" s="88" t="str">
        <f t="shared" ref="AB98:AB129" si="7">IF(AC98=0,"SUBCONTRATADO","BWT")</f>
        <v>BWT</v>
      </c>
      <c r="AC98" s="21" t="str" cm="1">
        <f t="array" ref="AC98">IFERROR(
INDEX(
_xlfn._xlws.FILTER(
BWT!$C$1:$C$100,
ISNUMBER(FIND(
SUBSTITUTE(BWT!$C$1:$C$100," ",""),
SUBSTITUTE(SUBSTITUTE(SUBSTITUTE(F98," ",""),"-",""),CHAR(160),"")
))
),
1
),
"")</f>
        <v>BDQ4E30</v>
      </c>
    </row>
    <row r="99" spans="1:29" hidden="1" x14ac:dyDescent="0.3">
      <c r="A99" s="112" t="s">
        <v>620</v>
      </c>
      <c r="B99" s="112" t="s">
        <v>165</v>
      </c>
      <c r="C99" s="112" t="s">
        <v>582</v>
      </c>
      <c r="D99" s="112" t="s">
        <v>621</v>
      </c>
      <c r="E99" s="112"/>
      <c r="F99" s="112" t="s">
        <v>223</v>
      </c>
      <c r="G99" s="112" t="s">
        <v>224</v>
      </c>
      <c r="H99" s="112"/>
      <c r="I99" s="112" t="s">
        <v>172</v>
      </c>
      <c r="J99" s="112"/>
      <c r="K99" s="112" t="s">
        <v>243</v>
      </c>
      <c r="L99" s="112" t="s">
        <v>244</v>
      </c>
      <c r="M99" s="112" t="s">
        <v>218</v>
      </c>
      <c r="N99" s="112" t="s">
        <v>218</v>
      </c>
      <c r="O99" s="112" t="s">
        <v>244</v>
      </c>
      <c r="P99" s="112" t="s">
        <v>244</v>
      </c>
      <c r="Q99" s="112"/>
      <c r="R99" s="112"/>
      <c r="S99" s="112"/>
      <c r="T99" s="113">
        <v>72.790000000000006</v>
      </c>
      <c r="U99" s="113">
        <v>72.790000000000006</v>
      </c>
      <c r="V99" s="113">
        <v>0</v>
      </c>
      <c r="W99" s="113">
        <v>0</v>
      </c>
      <c r="X99" s="121">
        <v>0.12</v>
      </c>
      <c r="Y99" s="113">
        <v>72.790000000000006</v>
      </c>
      <c r="Z99" s="89" t="str">
        <f t="shared" si="6"/>
        <v>CT-e COMPLEMENTAR</v>
      </c>
      <c r="AA99" s="89" t="str">
        <f>IFERROR(_xlfn.XLOOKUP(Z99,Rotas!C:C,Rotas!D:D),"0")</f>
        <v>0</v>
      </c>
      <c r="AB99" s="97" t="str">
        <f t="shared" si="7"/>
        <v>BWT</v>
      </c>
      <c r="AC99" s="21" t="str" cm="1">
        <f t="array" ref="AC99">IFERROR(
INDEX(
_xlfn._xlws.FILTER(
BWT!$C$1:$C$100,
ISNUMBER(FIND(
SUBSTITUTE(BWT!$C$1:$C$100," ",""),
SUBSTITUTE(SUBSTITUTE(SUBSTITUTE(F99," ",""),"-",""),CHAR(160),"")
))
),
1
),
"")</f>
        <v>SFA7G28</v>
      </c>
    </row>
    <row r="100" spans="1:29" hidden="1" x14ac:dyDescent="0.3">
      <c r="A100" s="112" t="s">
        <v>622</v>
      </c>
      <c r="B100" s="112" t="s">
        <v>165</v>
      </c>
      <c r="C100" s="112" t="s">
        <v>582</v>
      </c>
      <c r="D100" s="112" t="s">
        <v>623</v>
      </c>
      <c r="E100" s="112"/>
      <c r="F100" s="112" t="s">
        <v>88</v>
      </c>
      <c r="G100" s="112" t="s">
        <v>189</v>
      </c>
      <c r="H100" s="112"/>
      <c r="I100" s="112" t="s">
        <v>172</v>
      </c>
      <c r="J100" s="112"/>
      <c r="K100" s="112" t="s">
        <v>172</v>
      </c>
      <c r="L100" s="112" t="s">
        <v>217</v>
      </c>
      <c r="M100" s="112" t="s">
        <v>217</v>
      </c>
      <c r="N100" s="112" t="s">
        <v>217</v>
      </c>
      <c r="O100" s="112" t="s">
        <v>244</v>
      </c>
      <c r="P100" s="112" t="s">
        <v>244</v>
      </c>
      <c r="Q100" s="112"/>
      <c r="R100" s="112"/>
      <c r="S100" s="112"/>
      <c r="T100" s="113">
        <v>215.98</v>
      </c>
      <c r="U100" s="113">
        <v>215.98</v>
      </c>
      <c r="V100" s="113">
        <v>0</v>
      </c>
      <c r="W100" s="113">
        <v>0</v>
      </c>
      <c r="X100" s="112"/>
      <c r="Y100" s="113"/>
      <c r="Z100" s="87" t="str">
        <f t="shared" si="6"/>
        <v>CT-e COMPLEMENTAR</v>
      </c>
      <c r="AA100" s="87" t="str">
        <f>IFERROR(_xlfn.XLOOKUP(Z100,Rotas!C:C,Rotas!D:D),"0")</f>
        <v>0</v>
      </c>
      <c r="AB100" s="88" t="str">
        <f t="shared" si="7"/>
        <v>BWT</v>
      </c>
      <c r="AC100" s="21" t="str" cm="1">
        <f t="array" ref="AC100">IFERROR(
INDEX(
_xlfn._xlws.FILTER(
BWT!$C$1:$C$100,
ISNUMBER(FIND(
SUBSTITUTE(BWT!$C$1:$C$100," ",""),
SUBSTITUTE(SUBSTITUTE(SUBSTITUTE(F100," ",""),"-",""),CHAR(160),"")
))
),
1
),
"")</f>
        <v>BDQ4E39</v>
      </c>
    </row>
    <row r="101" spans="1:29" hidden="1" x14ac:dyDescent="0.3">
      <c r="A101" s="112" t="s">
        <v>624</v>
      </c>
      <c r="B101" s="112" t="s">
        <v>165</v>
      </c>
      <c r="C101" s="112" t="s">
        <v>582</v>
      </c>
      <c r="D101" s="112" t="s">
        <v>625</v>
      </c>
      <c r="E101" s="112" t="s">
        <v>626</v>
      </c>
      <c r="F101" s="112" t="s">
        <v>627</v>
      </c>
      <c r="G101" s="112" t="s">
        <v>628</v>
      </c>
      <c r="H101" s="112" t="s">
        <v>171</v>
      </c>
      <c r="I101" s="112" t="s">
        <v>172</v>
      </c>
      <c r="J101" s="112" t="s">
        <v>580</v>
      </c>
      <c r="K101" s="112" t="s">
        <v>174</v>
      </c>
      <c r="L101" s="112" t="s">
        <v>244</v>
      </c>
      <c r="M101" s="112" t="s">
        <v>244</v>
      </c>
      <c r="N101" s="112" t="s">
        <v>176</v>
      </c>
      <c r="O101" s="112" t="s">
        <v>254</v>
      </c>
      <c r="P101" s="112" t="s">
        <v>254</v>
      </c>
      <c r="Q101" s="112" t="s">
        <v>498</v>
      </c>
      <c r="R101" s="112">
        <v>59421</v>
      </c>
      <c r="S101" s="112">
        <v>48999</v>
      </c>
      <c r="T101" s="113">
        <v>12478.41</v>
      </c>
      <c r="U101" s="113">
        <v>12478.41</v>
      </c>
      <c r="V101" s="113">
        <v>0</v>
      </c>
      <c r="W101" s="113">
        <v>0</v>
      </c>
      <c r="X101" s="121">
        <v>0.12</v>
      </c>
      <c r="Y101" s="113">
        <v>12478.41</v>
      </c>
      <c r="Z101" s="87" t="str">
        <f t="shared" si="6"/>
        <v>PARANAGUA/PASSO FUNDO</v>
      </c>
      <c r="AA101" s="87">
        <f>IFERROR(_xlfn.XLOOKUP(Z101,Rotas!C:C,Rotas!D:D),"0")</f>
        <v>636</v>
      </c>
      <c r="AB101" s="88" t="str">
        <f t="shared" si="7"/>
        <v>BWT</v>
      </c>
      <c r="AC101" s="21" t="str" cm="1">
        <f t="array" ref="AC101">IFERROR(
INDEX(
_xlfn._xlws.FILTER(
BWT!$C$1:$C$100,
ISNUMBER(FIND(
SUBSTITUTE(BWT!$C$1:$C$100," ",""),
SUBSTITUTE(SUBSTITUTE(SUBSTITUTE(F101," ",""),"-",""),CHAR(160),"")
))
),
1
),
"")</f>
        <v>TAW8B90</v>
      </c>
    </row>
    <row r="102" spans="1:29" hidden="1" x14ac:dyDescent="0.3">
      <c r="A102" s="112" t="s">
        <v>629</v>
      </c>
      <c r="B102" s="112" t="s">
        <v>165</v>
      </c>
      <c r="C102" s="112" t="s">
        <v>582</v>
      </c>
      <c r="D102" s="112" t="s">
        <v>630</v>
      </c>
      <c r="E102" s="112" t="s">
        <v>631</v>
      </c>
      <c r="F102" s="112" t="s">
        <v>334</v>
      </c>
      <c r="G102" s="112" t="s">
        <v>335</v>
      </c>
      <c r="H102" s="112" t="s">
        <v>171</v>
      </c>
      <c r="I102" s="112" t="s">
        <v>172</v>
      </c>
      <c r="J102" s="112" t="s">
        <v>580</v>
      </c>
      <c r="K102" s="112" t="s">
        <v>174</v>
      </c>
      <c r="L102" s="112" t="s">
        <v>244</v>
      </c>
      <c r="M102" s="112" t="s">
        <v>244</v>
      </c>
      <c r="N102" s="112" t="s">
        <v>176</v>
      </c>
      <c r="O102" s="112" t="s">
        <v>254</v>
      </c>
      <c r="P102" s="112" t="s">
        <v>254</v>
      </c>
      <c r="Q102" s="112" t="s">
        <v>498</v>
      </c>
      <c r="R102" s="112">
        <v>57521</v>
      </c>
      <c r="S102" s="112">
        <v>47403</v>
      </c>
      <c r="T102" s="113">
        <v>12079.41</v>
      </c>
      <c r="U102" s="113">
        <v>12079.41</v>
      </c>
      <c r="V102" s="113">
        <v>0</v>
      </c>
      <c r="W102" s="113">
        <v>0</v>
      </c>
      <c r="X102" s="121">
        <v>0.12</v>
      </c>
      <c r="Y102" s="113">
        <v>12079.41</v>
      </c>
      <c r="Z102" s="87" t="str">
        <f t="shared" si="6"/>
        <v>PARANAGUA/PASSO FUNDO</v>
      </c>
      <c r="AA102" s="87">
        <f>IFERROR(_xlfn.XLOOKUP(Z102,Rotas!C:C,Rotas!D:D),"0")</f>
        <v>636</v>
      </c>
      <c r="AB102" s="88" t="str">
        <f t="shared" si="7"/>
        <v>BWT</v>
      </c>
      <c r="AC102" s="21" t="str" cm="1">
        <f t="array" ref="AC102">IFERROR(
INDEX(
_xlfn._xlws.FILTER(
BWT!$C$1:$C$100,
ISNUMBER(FIND(
SUBSTITUTE(BWT!$C$1:$C$100," ",""),
SUBSTITUTE(SUBSTITUTE(SUBSTITUTE(F102," ",""),"-",""),CHAR(160),"")
))
),
1
),
"")</f>
        <v>SFF3I82</v>
      </c>
    </row>
    <row r="103" spans="1:29" hidden="1" x14ac:dyDescent="0.3">
      <c r="A103" s="112" t="s">
        <v>632</v>
      </c>
      <c r="B103" s="112" t="s">
        <v>165</v>
      </c>
      <c r="C103" s="112" t="s">
        <v>582</v>
      </c>
      <c r="D103" s="112" t="s">
        <v>633</v>
      </c>
      <c r="E103" s="112" t="s">
        <v>634</v>
      </c>
      <c r="F103" s="112" t="s">
        <v>181</v>
      </c>
      <c r="G103" s="112" t="s">
        <v>182</v>
      </c>
      <c r="H103" s="112" t="s">
        <v>171</v>
      </c>
      <c r="I103" s="112" t="s">
        <v>172</v>
      </c>
      <c r="J103" s="112" t="s">
        <v>183</v>
      </c>
      <c r="K103" s="112" t="s">
        <v>172</v>
      </c>
      <c r="L103" s="112" t="s">
        <v>184</v>
      </c>
      <c r="M103" s="112" t="s">
        <v>176</v>
      </c>
      <c r="N103" s="112" t="s">
        <v>176</v>
      </c>
      <c r="O103" s="112" t="s">
        <v>184</v>
      </c>
      <c r="P103" s="112" t="s">
        <v>184</v>
      </c>
      <c r="Q103" s="112" t="s">
        <v>177</v>
      </c>
      <c r="R103" s="112">
        <v>37921</v>
      </c>
      <c r="S103" s="112">
        <v>58341</v>
      </c>
      <c r="T103" s="113">
        <v>3894.49</v>
      </c>
      <c r="U103" s="113">
        <v>3894.49</v>
      </c>
      <c r="V103" s="113">
        <v>0</v>
      </c>
      <c r="W103" s="113">
        <v>0</v>
      </c>
      <c r="X103" s="112"/>
      <c r="Y103" s="113"/>
      <c r="Z103" s="87" t="str">
        <f t="shared" si="6"/>
        <v>PARANAGUA/LAPA</v>
      </c>
      <c r="AA103" s="87">
        <f>IFERROR(_xlfn.XLOOKUP(Z103,Rotas!C:C,Rotas!D:D),"0")</f>
        <v>153</v>
      </c>
      <c r="AB103" s="88" t="str">
        <f t="shared" si="7"/>
        <v>BWT</v>
      </c>
      <c r="AC103" s="21" t="str" cm="1">
        <f t="array" ref="AC103">IFERROR(
INDEX(
_xlfn._xlws.FILTER(
BWT!$C$1:$C$100,
ISNUMBER(FIND(
SUBSTITUTE(BWT!$C$1:$C$100," ",""),
SUBSTITUTE(SUBSTITUTE(SUBSTITUTE(F103," ",""),"-",""),CHAR(160),"")
))
),
1
),
"")</f>
        <v>BDF9C15</v>
      </c>
    </row>
    <row r="104" spans="1:29" hidden="1" x14ac:dyDescent="0.3">
      <c r="A104" s="112" t="s">
        <v>635</v>
      </c>
      <c r="B104" s="112" t="s">
        <v>165</v>
      </c>
      <c r="C104" s="112" t="s">
        <v>582</v>
      </c>
      <c r="D104" s="112" t="s">
        <v>636</v>
      </c>
      <c r="E104" s="112" t="s">
        <v>637</v>
      </c>
      <c r="F104" s="112" t="s">
        <v>89</v>
      </c>
      <c r="G104" s="112" t="s">
        <v>268</v>
      </c>
      <c r="H104" s="112" t="s">
        <v>171</v>
      </c>
      <c r="I104" s="112" t="s">
        <v>172</v>
      </c>
      <c r="J104" s="112" t="s">
        <v>183</v>
      </c>
      <c r="K104" s="112" t="s">
        <v>172</v>
      </c>
      <c r="L104" s="112" t="s">
        <v>184</v>
      </c>
      <c r="M104" s="112" t="s">
        <v>176</v>
      </c>
      <c r="N104" s="112" t="s">
        <v>176</v>
      </c>
      <c r="O104" s="112" t="s">
        <v>184</v>
      </c>
      <c r="P104" s="112" t="s">
        <v>184</v>
      </c>
      <c r="Q104" s="112" t="s">
        <v>177</v>
      </c>
      <c r="R104" s="112">
        <v>38599</v>
      </c>
      <c r="S104" s="112">
        <v>58299</v>
      </c>
      <c r="T104" s="113">
        <v>3964.12</v>
      </c>
      <c r="U104" s="113">
        <v>3964.12</v>
      </c>
      <c r="V104" s="113">
        <v>0</v>
      </c>
      <c r="W104" s="113">
        <v>0</v>
      </c>
      <c r="X104" s="112"/>
      <c r="Y104" s="113"/>
      <c r="Z104" s="87" t="str">
        <f t="shared" si="6"/>
        <v>PARANAGUA/LAPA</v>
      </c>
      <c r="AA104" s="87">
        <f>IFERROR(_xlfn.XLOOKUP(Z104,Rotas!C:C,Rotas!D:D),"0")</f>
        <v>153</v>
      </c>
      <c r="AB104" s="88" t="str">
        <f t="shared" si="7"/>
        <v>BWT</v>
      </c>
      <c r="AC104" s="21" t="str" cm="1">
        <f t="array" ref="AC104">IFERROR(
INDEX(
_xlfn._xlws.FILTER(
BWT!$C$1:$C$100,
ISNUMBER(FIND(
SUBSTITUTE(BWT!$C$1:$C$100," ",""),
SUBSTITUTE(SUBSTITUTE(SUBSTITUTE(F104," ",""),"-",""),CHAR(160),"")
))
),
1
),
"")</f>
        <v>BBM5I48</v>
      </c>
    </row>
    <row r="105" spans="1:29" hidden="1" x14ac:dyDescent="0.3">
      <c r="A105" s="112" t="s">
        <v>638</v>
      </c>
      <c r="B105" s="112" t="s">
        <v>165</v>
      </c>
      <c r="C105" s="112" t="s">
        <v>582</v>
      </c>
      <c r="D105" s="112" t="s">
        <v>639</v>
      </c>
      <c r="E105" s="112" t="s">
        <v>640</v>
      </c>
      <c r="F105" s="112" t="s">
        <v>492</v>
      </c>
      <c r="G105" s="112" t="s">
        <v>493</v>
      </c>
      <c r="H105" s="112" t="s">
        <v>324</v>
      </c>
      <c r="I105" s="112" t="s">
        <v>172</v>
      </c>
      <c r="J105" s="112" t="s">
        <v>233</v>
      </c>
      <c r="K105" s="112" t="s">
        <v>172</v>
      </c>
      <c r="L105" s="112" t="s">
        <v>217</v>
      </c>
      <c r="M105" s="112" t="s">
        <v>325</v>
      </c>
      <c r="N105" s="112" t="s">
        <v>325</v>
      </c>
      <c r="O105" s="112" t="s">
        <v>217</v>
      </c>
      <c r="P105" s="112" t="s">
        <v>217</v>
      </c>
      <c r="Q105" s="112" t="s">
        <v>219</v>
      </c>
      <c r="R105" s="112">
        <v>59448</v>
      </c>
      <c r="S105" s="112">
        <v>47060</v>
      </c>
      <c r="T105" s="113">
        <v>6429.3</v>
      </c>
      <c r="U105" s="113">
        <v>6429.3</v>
      </c>
      <c r="V105" s="113">
        <v>0</v>
      </c>
      <c r="W105" s="113">
        <v>0</v>
      </c>
      <c r="X105" s="112"/>
      <c r="Y105" s="113"/>
      <c r="Z105" s="87" t="str">
        <f t="shared" si="6"/>
        <v>SAO CARLOS DO IVAI/ARAUCARIA</v>
      </c>
      <c r="AA105" s="87">
        <f>IFERROR(_xlfn.XLOOKUP(Z105,Rotas!C:C,Rotas!D:D),"0")</f>
        <v>491</v>
      </c>
      <c r="AB105" s="88" t="str">
        <f t="shared" si="7"/>
        <v>BWT</v>
      </c>
      <c r="AC105" s="21" t="str" cm="1">
        <f t="array" ref="AC105">IFERROR(
INDEX(
_xlfn._xlws.FILTER(
BWT!$C$1:$C$100,
ISNUMBER(FIND(
SUBSTITUTE(BWT!$C$1:$C$100," ",""),
SUBSTITUTE(SUBSTITUTE(SUBSTITUTE(F105," ",""),"-",""),CHAR(160),"")
))
),
1
),
"")</f>
        <v>TAW8B80</v>
      </c>
    </row>
    <row r="106" spans="1:29" hidden="1" x14ac:dyDescent="0.3">
      <c r="A106" s="112" t="s">
        <v>641</v>
      </c>
      <c r="B106" s="112" t="s">
        <v>165</v>
      </c>
      <c r="C106" s="112" t="s">
        <v>582</v>
      </c>
      <c r="D106" s="112" t="s">
        <v>642</v>
      </c>
      <c r="E106" s="112" t="s">
        <v>643</v>
      </c>
      <c r="F106" s="112" t="s">
        <v>85</v>
      </c>
      <c r="G106" s="112" t="s">
        <v>644</v>
      </c>
      <c r="H106" s="112" t="s">
        <v>171</v>
      </c>
      <c r="I106" s="112" t="s">
        <v>172</v>
      </c>
      <c r="J106" s="112" t="s">
        <v>183</v>
      </c>
      <c r="K106" s="112" t="s">
        <v>172</v>
      </c>
      <c r="L106" s="112" t="s">
        <v>184</v>
      </c>
      <c r="M106" s="112" t="s">
        <v>176</v>
      </c>
      <c r="N106" s="112" t="s">
        <v>176</v>
      </c>
      <c r="O106" s="112" t="s">
        <v>184</v>
      </c>
      <c r="P106" s="112" t="s">
        <v>184</v>
      </c>
      <c r="Q106" s="112" t="s">
        <v>177</v>
      </c>
      <c r="R106" s="112">
        <v>33092</v>
      </c>
      <c r="S106" s="112">
        <v>51392</v>
      </c>
      <c r="T106" s="113">
        <v>3398.55</v>
      </c>
      <c r="U106" s="113">
        <v>3398.55</v>
      </c>
      <c r="V106" s="113">
        <v>0</v>
      </c>
      <c r="W106" s="113">
        <v>0</v>
      </c>
      <c r="X106" s="112"/>
      <c r="Y106" s="113"/>
      <c r="Z106" s="87" t="str">
        <f t="shared" si="6"/>
        <v>PARANAGUA/LAPA</v>
      </c>
      <c r="AA106" s="87">
        <f>IFERROR(_xlfn.XLOOKUP(Z106,Rotas!C:C,Rotas!D:D),"0")</f>
        <v>153</v>
      </c>
      <c r="AB106" s="88" t="str">
        <f t="shared" si="7"/>
        <v>BWT</v>
      </c>
      <c r="AC106" s="21" t="str" cm="1">
        <f t="array" ref="AC106">IFERROR(
INDEX(
_xlfn._xlws.FILTER(
BWT!$C$1:$C$100,
ISNUMBER(FIND(
SUBSTITUTE(BWT!$C$1:$C$100," ",""),
SUBSTITUTE(SUBSTITUTE(SUBSTITUTE(F106," ",""),"-",""),CHAR(160),"")
))
),
1
),
"")</f>
        <v>BBL9D24</v>
      </c>
    </row>
    <row r="107" spans="1:29" hidden="1" x14ac:dyDescent="0.3">
      <c r="A107" s="112" t="s">
        <v>645</v>
      </c>
      <c r="B107" s="112" t="s">
        <v>165</v>
      </c>
      <c r="C107" s="112" t="s">
        <v>582</v>
      </c>
      <c r="D107" s="112" t="s">
        <v>646</v>
      </c>
      <c r="E107" s="112" t="s">
        <v>647</v>
      </c>
      <c r="F107" s="112" t="s">
        <v>90</v>
      </c>
      <c r="G107" s="112" t="s">
        <v>648</v>
      </c>
      <c r="H107" s="112" t="s">
        <v>171</v>
      </c>
      <c r="I107" s="112" t="s">
        <v>172</v>
      </c>
      <c r="J107" s="112" t="s">
        <v>272</v>
      </c>
      <c r="K107" s="112" t="s">
        <v>174</v>
      </c>
      <c r="L107" s="112" t="s">
        <v>273</v>
      </c>
      <c r="M107" s="112" t="s">
        <v>649</v>
      </c>
      <c r="N107" s="112" t="s">
        <v>176</v>
      </c>
      <c r="O107" s="112" t="s">
        <v>273</v>
      </c>
      <c r="P107" s="112" t="s">
        <v>273</v>
      </c>
      <c r="Q107" s="112" t="s">
        <v>177</v>
      </c>
      <c r="R107" s="112">
        <v>47959</v>
      </c>
      <c r="S107" s="112">
        <v>47959</v>
      </c>
      <c r="T107" s="113">
        <v>10311.18</v>
      </c>
      <c r="U107" s="113">
        <v>8539.24</v>
      </c>
      <c r="V107" s="113">
        <v>607.5</v>
      </c>
      <c r="W107" s="113">
        <v>1164.44</v>
      </c>
      <c r="X107" s="121">
        <v>0.12</v>
      </c>
      <c r="Y107" s="113">
        <v>9703.68</v>
      </c>
      <c r="Z107" s="87" t="str">
        <f t="shared" si="6"/>
        <v>PARANAGUA/MUITOS CAPOES</v>
      </c>
      <c r="AA107" s="87">
        <f>IFERROR(_xlfn.XLOOKUP(Z107,Rotas!C:C,Rotas!D:D),"0")</f>
        <v>581</v>
      </c>
      <c r="AB107" s="88" t="str">
        <f t="shared" si="7"/>
        <v>BWT</v>
      </c>
      <c r="AC107" s="21" t="str" cm="1">
        <f t="array" ref="AC107">IFERROR(
INDEX(
_xlfn._xlws.FILTER(
BWT!$C$1:$C$100,
ISNUMBER(FIND(
SUBSTITUTE(BWT!$C$1:$C$100," ",""),
SUBSTITUTE(SUBSTITUTE(SUBSTITUTE(F107," ",""),"-",""),CHAR(160),"")
))
),
1
),
"")</f>
        <v>BDQ4E53</v>
      </c>
    </row>
    <row r="108" spans="1:29" hidden="1" x14ac:dyDescent="0.3">
      <c r="A108" s="112" t="s">
        <v>650</v>
      </c>
      <c r="B108" s="112" t="s">
        <v>165</v>
      </c>
      <c r="C108" s="112" t="s">
        <v>582</v>
      </c>
      <c r="D108" s="112" t="s">
        <v>651</v>
      </c>
      <c r="E108" s="112" t="s">
        <v>652</v>
      </c>
      <c r="F108" s="112" t="s">
        <v>653</v>
      </c>
      <c r="G108" s="112" t="s">
        <v>654</v>
      </c>
      <c r="H108" s="112" t="s">
        <v>183</v>
      </c>
      <c r="I108" s="112" t="s">
        <v>172</v>
      </c>
      <c r="J108" s="112" t="s">
        <v>171</v>
      </c>
      <c r="K108" s="112" t="s">
        <v>172</v>
      </c>
      <c r="L108" s="112" t="s">
        <v>184</v>
      </c>
      <c r="M108" s="112" t="s">
        <v>184</v>
      </c>
      <c r="N108" s="112" t="s">
        <v>184</v>
      </c>
      <c r="O108" s="112" t="s">
        <v>655</v>
      </c>
      <c r="P108" s="112" t="s">
        <v>655</v>
      </c>
      <c r="Q108" s="112" t="s">
        <v>656</v>
      </c>
      <c r="R108" s="112">
        <v>26810</v>
      </c>
      <c r="S108" s="112">
        <v>26810</v>
      </c>
      <c r="T108" s="113">
        <v>2650</v>
      </c>
      <c r="U108" s="113">
        <v>2650</v>
      </c>
      <c r="V108" s="113">
        <v>0</v>
      </c>
      <c r="W108" s="113">
        <v>0</v>
      </c>
      <c r="X108" s="112"/>
      <c r="Y108" s="113"/>
      <c r="Z108" s="87" t="str">
        <f t="shared" si="6"/>
        <v>LAPA/PARANAGUA</v>
      </c>
      <c r="AA108" s="87">
        <f>IFERROR(_xlfn.XLOOKUP(Z108,Rotas!C:C,Rotas!D:D),"0")</f>
        <v>465</v>
      </c>
      <c r="AB108" s="88" t="str">
        <f t="shared" si="7"/>
        <v>SUBCONTRATADO</v>
      </c>
      <c r="AC108" s="21" cm="1">
        <f t="array" ref="AC108">IFERROR(
INDEX(
_xlfn._xlws.FILTER(
BWT!$C$1:$C$100,
ISNUMBER(FIND(
SUBSTITUTE(BWT!$C$1:$C$100," ",""),
SUBSTITUTE(SUBSTITUTE(SUBSTITUTE(F108," ",""),"-",""),CHAR(160),"")
))
),
1
),
"")</f>
        <v>0</v>
      </c>
    </row>
    <row r="109" spans="1:29" hidden="1" x14ac:dyDescent="0.3">
      <c r="A109" s="112" t="s">
        <v>657</v>
      </c>
      <c r="B109" s="112" t="s">
        <v>165</v>
      </c>
      <c r="C109" s="112" t="s">
        <v>582</v>
      </c>
      <c r="D109" s="112" t="s">
        <v>658</v>
      </c>
      <c r="E109" s="112" t="s">
        <v>659</v>
      </c>
      <c r="F109" s="112" t="s">
        <v>486</v>
      </c>
      <c r="G109" s="112" t="s">
        <v>487</v>
      </c>
      <c r="H109" s="112" t="s">
        <v>324</v>
      </c>
      <c r="I109" s="112" t="s">
        <v>172</v>
      </c>
      <c r="J109" s="112" t="s">
        <v>233</v>
      </c>
      <c r="K109" s="112" t="s">
        <v>172</v>
      </c>
      <c r="L109" s="112" t="s">
        <v>217</v>
      </c>
      <c r="M109" s="112" t="s">
        <v>325</v>
      </c>
      <c r="N109" s="112" t="s">
        <v>325</v>
      </c>
      <c r="O109" s="112" t="s">
        <v>217</v>
      </c>
      <c r="P109" s="112" t="s">
        <v>217</v>
      </c>
      <c r="Q109" s="112" t="s">
        <v>219</v>
      </c>
      <c r="R109" s="112">
        <v>59478</v>
      </c>
      <c r="S109" s="112">
        <v>46940</v>
      </c>
      <c r="T109" s="113">
        <v>6432.55</v>
      </c>
      <c r="U109" s="113">
        <v>6432.55</v>
      </c>
      <c r="V109" s="113">
        <v>0</v>
      </c>
      <c r="W109" s="113">
        <v>0</v>
      </c>
      <c r="X109" s="112"/>
      <c r="Y109" s="113"/>
      <c r="Z109" s="87" t="str">
        <f t="shared" si="6"/>
        <v>SAO CARLOS DO IVAI/ARAUCARIA</v>
      </c>
      <c r="AA109" s="87">
        <f>IFERROR(_xlfn.XLOOKUP(Z109,Rotas!C:C,Rotas!D:D),"0")</f>
        <v>491</v>
      </c>
      <c r="AB109" s="88" t="str">
        <f t="shared" si="7"/>
        <v>BWT</v>
      </c>
      <c r="AC109" s="21" t="str" cm="1">
        <f t="array" ref="AC109">IFERROR(
INDEX(
_xlfn._xlws.FILTER(
BWT!$C$1:$C$100,
ISNUMBER(FIND(
SUBSTITUTE(BWT!$C$1:$C$100," ",""),
SUBSTITUTE(SUBSTITUTE(SUBSTITUTE(F109," ",""),"-",""),CHAR(160),"")
))
),
1
),
"")</f>
        <v>BDQ4E32</v>
      </c>
    </row>
    <row r="110" spans="1:29" hidden="1" x14ac:dyDescent="0.3">
      <c r="A110" s="112" t="s">
        <v>660</v>
      </c>
      <c r="B110" s="112" t="s">
        <v>165</v>
      </c>
      <c r="C110" s="112" t="s">
        <v>582</v>
      </c>
      <c r="D110" s="112" t="s">
        <v>661</v>
      </c>
      <c r="E110" s="112" t="s">
        <v>662</v>
      </c>
      <c r="F110" s="112" t="s">
        <v>663</v>
      </c>
      <c r="G110" s="112" t="s">
        <v>467</v>
      </c>
      <c r="H110" s="112" t="s">
        <v>183</v>
      </c>
      <c r="I110" s="112" t="s">
        <v>172</v>
      </c>
      <c r="J110" s="112" t="s">
        <v>171</v>
      </c>
      <c r="K110" s="112" t="s">
        <v>172</v>
      </c>
      <c r="L110" s="112" t="s">
        <v>184</v>
      </c>
      <c r="M110" s="112" t="s">
        <v>184</v>
      </c>
      <c r="N110" s="112" t="s">
        <v>184</v>
      </c>
      <c r="O110" s="112" t="s">
        <v>655</v>
      </c>
      <c r="P110" s="112" t="s">
        <v>655</v>
      </c>
      <c r="Q110" s="112" t="s">
        <v>656</v>
      </c>
      <c r="R110" s="112">
        <v>26870</v>
      </c>
      <c r="S110" s="112">
        <v>26870</v>
      </c>
      <c r="T110" s="113">
        <v>2650</v>
      </c>
      <c r="U110" s="113">
        <v>2650</v>
      </c>
      <c r="V110" s="113">
        <v>0</v>
      </c>
      <c r="W110" s="113">
        <v>0</v>
      </c>
      <c r="X110" s="112"/>
      <c r="Y110" s="113"/>
      <c r="Z110" s="87" t="str">
        <f t="shared" si="6"/>
        <v>LAPA/PARANAGUA</v>
      </c>
      <c r="AA110" s="87">
        <f>IFERROR(_xlfn.XLOOKUP(Z110,Rotas!C:C,Rotas!D:D),"0")</f>
        <v>465</v>
      </c>
      <c r="AB110" s="88" t="str">
        <f t="shared" si="7"/>
        <v>BWT</v>
      </c>
      <c r="AC110" s="21" t="str" cm="1">
        <f t="array" ref="AC110">IFERROR(
INDEX(
_xlfn._xlws.FILTER(
BWT!$C$1:$C$100,
ISNUMBER(FIND(
SUBSTITUTE(BWT!$C$1:$C$100," ",""),
SUBSTITUTE(SUBSTITUTE(SUBSTITUTE(F110," ",""),"-",""),CHAR(160),"")
))
),
1
),
"")</f>
        <v>RHG5D75</v>
      </c>
    </row>
    <row r="111" spans="1:29" hidden="1" x14ac:dyDescent="0.3">
      <c r="A111" s="112" t="s">
        <v>664</v>
      </c>
      <c r="B111" s="112" t="s">
        <v>165</v>
      </c>
      <c r="C111" s="112" t="s">
        <v>582</v>
      </c>
      <c r="D111" s="112" t="s">
        <v>665</v>
      </c>
      <c r="E111" s="112" t="s">
        <v>666</v>
      </c>
      <c r="F111" s="112" t="s">
        <v>424</v>
      </c>
      <c r="G111" s="112" t="s">
        <v>667</v>
      </c>
      <c r="H111" s="112" t="s">
        <v>183</v>
      </c>
      <c r="I111" s="112" t="s">
        <v>172</v>
      </c>
      <c r="J111" s="112" t="s">
        <v>171</v>
      </c>
      <c r="K111" s="112" t="s">
        <v>172</v>
      </c>
      <c r="L111" s="112" t="s">
        <v>184</v>
      </c>
      <c r="M111" s="112" t="s">
        <v>184</v>
      </c>
      <c r="N111" s="112" t="s">
        <v>184</v>
      </c>
      <c r="O111" s="112" t="s">
        <v>655</v>
      </c>
      <c r="P111" s="112" t="s">
        <v>655</v>
      </c>
      <c r="Q111" s="112" t="s">
        <v>656</v>
      </c>
      <c r="R111" s="112">
        <v>26760</v>
      </c>
      <c r="S111" s="112">
        <v>26760</v>
      </c>
      <c r="T111" s="113">
        <v>2650</v>
      </c>
      <c r="U111" s="113">
        <v>2650</v>
      </c>
      <c r="V111" s="113">
        <v>0</v>
      </c>
      <c r="W111" s="113">
        <v>0</v>
      </c>
      <c r="X111" s="112"/>
      <c r="Y111" s="113"/>
      <c r="Z111" s="87" t="str">
        <f t="shared" si="6"/>
        <v>LAPA/PARANAGUA</v>
      </c>
      <c r="AA111" s="87">
        <f>IFERROR(_xlfn.XLOOKUP(Z111,Rotas!C:C,Rotas!D:D),"0")</f>
        <v>465</v>
      </c>
      <c r="AB111" s="88" t="str">
        <f t="shared" si="7"/>
        <v>BWT</v>
      </c>
      <c r="AC111" s="21" t="str" cm="1">
        <f t="array" ref="AC111">IFERROR(
INDEX(
_xlfn._xlws.FILTER(
BWT!$C$1:$C$100,
ISNUMBER(FIND(
SUBSTITUTE(BWT!$C$1:$C$100," ",""),
SUBSTITUTE(SUBSTITUTE(SUBSTITUTE(F111," ",""),"-",""),CHAR(160),"")
))
),
1
),
"")</f>
        <v>SEE0I16</v>
      </c>
    </row>
    <row r="112" spans="1:29" hidden="1" x14ac:dyDescent="0.3">
      <c r="A112" s="112" t="s">
        <v>668</v>
      </c>
      <c r="B112" s="112" t="s">
        <v>165</v>
      </c>
      <c r="C112" s="112" t="s">
        <v>582</v>
      </c>
      <c r="D112" s="112" t="s">
        <v>669</v>
      </c>
      <c r="E112" s="112" t="s">
        <v>670</v>
      </c>
      <c r="F112" s="112" t="s">
        <v>671</v>
      </c>
      <c r="G112" s="112" t="s">
        <v>672</v>
      </c>
      <c r="H112" s="112" t="s">
        <v>183</v>
      </c>
      <c r="I112" s="112" t="s">
        <v>172</v>
      </c>
      <c r="J112" s="112" t="s">
        <v>171</v>
      </c>
      <c r="K112" s="112" t="s">
        <v>172</v>
      </c>
      <c r="L112" s="112" t="s">
        <v>184</v>
      </c>
      <c r="M112" s="112" t="s">
        <v>184</v>
      </c>
      <c r="N112" s="112" t="s">
        <v>184</v>
      </c>
      <c r="O112" s="112" t="s">
        <v>655</v>
      </c>
      <c r="P112" s="112" t="s">
        <v>655</v>
      </c>
      <c r="Q112" s="112" t="s">
        <v>656</v>
      </c>
      <c r="R112" s="112">
        <v>26740</v>
      </c>
      <c r="S112" s="112">
        <v>26740</v>
      </c>
      <c r="T112" s="113">
        <v>2650</v>
      </c>
      <c r="U112" s="113">
        <v>2650</v>
      </c>
      <c r="V112" s="113">
        <v>0</v>
      </c>
      <c r="W112" s="113">
        <v>0</v>
      </c>
      <c r="X112" s="112"/>
      <c r="Y112" s="113"/>
      <c r="Z112" s="87" t="str">
        <f t="shared" si="6"/>
        <v>LAPA/PARANAGUA</v>
      </c>
      <c r="AA112" s="87">
        <f>IFERROR(_xlfn.XLOOKUP(Z112,Rotas!C:C,Rotas!D:D),"0")</f>
        <v>465</v>
      </c>
      <c r="AB112" s="88" t="str">
        <f t="shared" si="7"/>
        <v>BWT</v>
      </c>
      <c r="AC112" s="21" t="str" cm="1">
        <f t="array" ref="AC112">IFERROR(
INDEX(
_xlfn._xlws.FILTER(
BWT!$C$1:$C$100,
ISNUMBER(FIND(
SUBSTITUTE(BWT!$C$1:$C$100," ",""),
SUBSTITUTE(SUBSTITUTE(SUBSTITUTE(F112," ",""),"-",""),CHAR(160),"")
))
),
1
),
"")</f>
        <v>BEZ9A98</v>
      </c>
    </row>
    <row r="113" spans="1:29" hidden="1" x14ac:dyDescent="0.3">
      <c r="A113" s="112" t="s">
        <v>673</v>
      </c>
      <c r="B113" s="112" t="s">
        <v>165</v>
      </c>
      <c r="C113" s="112" t="s">
        <v>582</v>
      </c>
      <c r="D113" s="112" t="s">
        <v>674</v>
      </c>
      <c r="E113" s="112" t="s">
        <v>675</v>
      </c>
      <c r="F113" s="112" t="s">
        <v>676</v>
      </c>
      <c r="G113" s="112" t="s">
        <v>677</v>
      </c>
      <c r="H113" s="112" t="s">
        <v>183</v>
      </c>
      <c r="I113" s="112" t="s">
        <v>172</v>
      </c>
      <c r="J113" s="112" t="s">
        <v>171</v>
      </c>
      <c r="K113" s="112" t="s">
        <v>172</v>
      </c>
      <c r="L113" s="112" t="s">
        <v>184</v>
      </c>
      <c r="M113" s="112" t="s">
        <v>184</v>
      </c>
      <c r="N113" s="112" t="s">
        <v>184</v>
      </c>
      <c r="O113" s="112" t="s">
        <v>655</v>
      </c>
      <c r="P113" s="112" t="s">
        <v>655</v>
      </c>
      <c r="Q113" s="112" t="s">
        <v>656</v>
      </c>
      <c r="R113" s="112">
        <v>26730</v>
      </c>
      <c r="S113" s="112">
        <v>26730</v>
      </c>
      <c r="T113" s="113">
        <v>2650</v>
      </c>
      <c r="U113" s="113">
        <v>2650</v>
      </c>
      <c r="V113" s="113">
        <v>0</v>
      </c>
      <c r="W113" s="113">
        <v>0</v>
      </c>
      <c r="X113" s="112"/>
      <c r="Y113" s="113"/>
      <c r="Z113" s="87" t="str">
        <f t="shared" si="6"/>
        <v>LAPA/PARANAGUA</v>
      </c>
      <c r="AA113" s="87">
        <f>IFERROR(_xlfn.XLOOKUP(Z113,Rotas!C:C,Rotas!D:D),"0")</f>
        <v>465</v>
      </c>
      <c r="AB113" s="88" t="str">
        <f t="shared" si="7"/>
        <v>SUBCONTRATADO</v>
      </c>
      <c r="AC113" s="21" cm="1">
        <f t="array" ref="AC113">IFERROR(
INDEX(
_xlfn._xlws.FILTER(
BWT!$C$1:$C$100,
ISNUMBER(FIND(
SUBSTITUTE(BWT!$C$1:$C$100," ",""),
SUBSTITUTE(SUBSTITUTE(SUBSTITUTE(F113," ",""),"-",""),CHAR(160),"")
))
),
1
),
"")</f>
        <v>0</v>
      </c>
    </row>
    <row r="114" spans="1:29" hidden="1" x14ac:dyDescent="0.3">
      <c r="A114" s="112" t="s">
        <v>678</v>
      </c>
      <c r="B114" s="112" t="s">
        <v>165</v>
      </c>
      <c r="C114" s="112" t="s">
        <v>582</v>
      </c>
      <c r="D114" s="112" t="s">
        <v>679</v>
      </c>
      <c r="E114" s="112" t="s">
        <v>680</v>
      </c>
      <c r="F114" s="112" t="s">
        <v>676</v>
      </c>
      <c r="G114" s="112" t="s">
        <v>681</v>
      </c>
      <c r="H114" s="112" t="s">
        <v>183</v>
      </c>
      <c r="I114" s="112" t="s">
        <v>172</v>
      </c>
      <c r="J114" s="112" t="s">
        <v>171</v>
      </c>
      <c r="K114" s="112" t="s">
        <v>172</v>
      </c>
      <c r="L114" s="112" t="s">
        <v>184</v>
      </c>
      <c r="M114" s="112" t="s">
        <v>184</v>
      </c>
      <c r="N114" s="112" t="s">
        <v>184</v>
      </c>
      <c r="O114" s="112" t="s">
        <v>655</v>
      </c>
      <c r="P114" s="112" t="s">
        <v>655</v>
      </c>
      <c r="Q114" s="112" t="s">
        <v>656</v>
      </c>
      <c r="R114" s="112">
        <v>26830</v>
      </c>
      <c r="S114" s="112">
        <v>26830</v>
      </c>
      <c r="T114" s="113">
        <v>2650</v>
      </c>
      <c r="U114" s="113">
        <v>2650</v>
      </c>
      <c r="V114" s="113">
        <v>0</v>
      </c>
      <c r="W114" s="113">
        <v>0</v>
      </c>
      <c r="X114" s="112"/>
      <c r="Y114" s="113"/>
      <c r="Z114" s="87" t="str">
        <f t="shared" si="6"/>
        <v>LAPA/PARANAGUA</v>
      </c>
      <c r="AA114" s="87">
        <f>IFERROR(_xlfn.XLOOKUP(Z114,Rotas!C:C,Rotas!D:D),"0")</f>
        <v>465</v>
      </c>
      <c r="AB114" s="88" t="str">
        <f t="shared" si="7"/>
        <v>SUBCONTRATADO</v>
      </c>
      <c r="AC114" s="21" cm="1">
        <f t="array" ref="AC114">IFERROR(
INDEX(
_xlfn._xlws.FILTER(
BWT!$C$1:$C$100,
ISNUMBER(FIND(
SUBSTITUTE(BWT!$C$1:$C$100," ",""),
SUBSTITUTE(SUBSTITUTE(SUBSTITUTE(F114," ",""),"-",""),CHAR(160),"")
))
),
1
),
"")</f>
        <v>0</v>
      </c>
    </row>
    <row r="115" spans="1:29" hidden="1" x14ac:dyDescent="0.3">
      <c r="A115" s="112" t="s">
        <v>682</v>
      </c>
      <c r="B115" s="112" t="s">
        <v>165</v>
      </c>
      <c r="C115" s="112" t="s">
        <v>582</v>
      </c>
      <c r="D115" s="112" t="s">
        <v>683</v>
      </c>
      <c r="E115" s="112" t="s">
        <v>684</v>
      </c>
      <c r="F115" s="112" t="s">
        <v>663</v>
      </c>
      <c r="G115" s="112" t="s">
        <v>467</v>
      </c>
      <c r="H115" s="112" t="s">
        <v>183</v>
      </c>
      <c r="I115" s="112" t="s">
        <v>172</v>
      </c>
      <c r="J115" s="112" t="s">
        <v>171</v>
      </c>
      <c r="K115" s="112" t="s">
        <v>172</v>
      </c>
      <c r="L115" s="112" t="s">
        <v>184</v>
      </c>
      <c r="M115" s="112" t="s">
        <v>184</v>
      </c>
      <c r="N115" s="112" t="s">
        <v>184</v>
      </c>
      <c r="O115" s="112" t="s">
        <v>655</v>
      </c>
      <c r="P115" s="112" t="s">
        <v>655</v>
      </c>
      <c r="Q115" s="112" t="s">
        <v>656</v>
      </c>
      <c r="R115" s="112">
        <v>26740</v>
      </c>
      <c r="S115" s="112">
        <v>26740</v>
      </c>
      <c r="T115" s="113">
        <v>2650</v>
      </c>
      <c r="U115" s="113">
        <v>2650</v>
      </c>
      <c r="V115" s="113">
        <v>0</v>
      </c>
      <c r="W115" s="113">
        <v>0</v>
      </c>
      <c r="X115" s="112"/>
      <c r="Y115" s="113"/>
      <c r="Z115" s="87" t="str">
        <f t="shared" si="6"/>
        <v>LAPA/PARANAGUA</v>
      </c>
      <c r="AA115" s="87">
        <f>IFERROR(_xlfn.XLOOKUP(Z115,Rotas!C:C,Rotas!D:D),"0")</f>
        <v>465</v>
      </c>
      <c r="AB115" s="88" t="str">
        <f t="shared" si="7"/>
        <v>BWT</v>
      </c>
      <c r="AC115" s="21" t="str" cm="1">
        <f t="array" ref="AC115">IFERROR(
INDEX(
_xlfn._xlws.FILTER(
BWT!$C$1:$C$100,
ISNUMBER(FIND(
SUBSTITUTE(BWT!$C$1:$C$100," ",""),
SUBSTITUTE(SUBSTITUTE(SUBSTITUTE(F115," ",""),"-",""),CHAR(160),"")
))
),
1
),
"")</f>
        <v>RHG5D75</v>
      </c>
    </row>
    <row r="116" spans="1:29" hidden="1" x14ac:dyDescent="0.3">
      <c r="A116" s="112" t="s">
        <v>685</v>
      </c>
      <c r="B116" s="112" t="s">
        <v>165</v>
      </c>
      <c r="C116" s="112" t="s">
        <v>582</v>
      </c>
      <c r="D116" s="112" t="s">
        <v>686</v>
      </c>
      <c r="E116" s="112" t="s">
        <v>687</v>
      </c>
      <c r="F116" s="112" t="s">
        <v>424</v>
      </c>
      <c r="G116" s="112" t="s">
        <v>667</v>
      </c>
      <c r="H116" s="112" t="s">
        <v>183</v>
      </c>
      <c r="I116" s="112" t="s">
        <v>172</v>
      </c>
      <c r="J116" s="112" t="s">
        <v>171</v>
      </c>
      <c r="K116" s="112" t="s">
        <v>172</v>
      </c>
      <c r="L116" s="112" t="s">
        <v>184</v>
      </c>
      <c r="M116" s="112" t="s">
        <v>184</v>
      </c>
      <c r="N116" s="112" t="s">
        <v>184</v>
      </c>
      <c r="O116" s="112" t="s">
        <v>655</v>
      </c>
      <c r="P116" s="112" t="s">
        <v>655</v>
      </c>
      <c r="Q116" s="112" t="s">
        <v>656</v>
      </c>
      <c r="R116" s="112">
        <v>26740</v>
      </c>
      <c r="S116" s="112">
        <v>26740</v>
      </c>
      <c r="T116" s="113">
        <v>2650</v>
      </c>
      <c r="U116" s="113">
        <v>2650</v>
      </c>
      <c r="V116" s="113">
        <v>0</v>
      </c>
      <c r="W116" s="113">
        <v>0</v>
      </c>
      <c r="X116" s="112"/>
      <c r="Y116" s="113"/>
      <c r="Z116" s="87" t="str">
        <f t="shared" si="6"/>
        <v>LAPA/PARANAGUA</v>
      </c>
      <c r="AA116" s="87">
        <f>IFERROR(_xlfn.XLOOKUP(Z116,Rotas!C:C,Rotas!D:D),"0")</f>
        <v>465</v>
      </c>
      <c r="AB116" s="88" t="str">
        <f t="shared" si="7"/>
        <v>BWT</v>
      </c>
      <c r="AC116" s="21" t="str" cm="1">
        <f t="array" ref="AC116">IFERROR(
INDEX(
_xlfn._xlws.FILTER(
BWT!$C$1:$C$100,
ISNUMBER(FIND(
SUBSTITUTE(BWT!$C$1:$C$100," ",""),
SUBSTITUTE(SUBSTITUTE(SUBSTITUTE(F116," ",""),"-",""),CHAR(160),"")
))
),
1
),
"")</f>
        <v>SEE0I16</v>
      </c>
    </row>
    <row r="117" spans="1:29" hidden="1" x14ac:dyDescent="0.3">
      <c r="A117" s="112" t="s">
        <v>688</v>
      </c>
      <c r="B117" s="112" t="s">
        <v>165</v>
      </c>
      <c r="C117" s="112" t="s">
        <v>582</v>
      </c>
      <c r="D117" s="112" t="s">
        <v>689</v>
      </c>
      <c r="E117" s="112" t="s">
        <v>690</v>
      </c>
      <c r="F117" s="112" t="s">
        <v>671</v>
      </c>
      <c r="G117" s="112" t="s">
        <v>672</v>
      </c>
      <c r="H117" s="112" t="s">
        <v>183</v>
      </c>
      <c r="I117" s="112" t="s">
        <v>172</v>
      </c>
      <c r="J117" s="112" t="s">
        <v>171</v>
      </c>
      <c r="K117" s="112" t="s">
        <v>172</v>
      </c>
      <c r="L117" s="112" t="s">
        <v>184</v>
      </c>
      <c r="M117" s="112" t="s">
        <v>184</v>
      </c>
      <c r="N117" s="112" t="s">
        <v>184</v>
      </c>
      <c r="O117" s="112" t="s">
        <v>655</v>
      </c>
      <c r="P117" s="112" t="s">
        <v>655</v>
      </c>
      <c r="Q117" s="112" t="s">
        <v>656</v>
      </c>
      <c r="R117" s="112">
        <v>26760</v>
      </c>
      <c r="S117" s="112">
        <v>26760</v>
      </c>
      <c r="T117" s="113">
        <v>2650</v>
      </c>
      <c r="U117" s="113">
        <v>2650</v>
      </c>
      <c r="V117" s="113">
        <v>0</v>
      </c>
      <c r="W117" s="113">
        <v>0</v>
      </c>
      <c r="X117" s="112"/>
      <c r="Y117" s="113"/>
      <c r="Z117" s="87" t="str">
        <f t="shared" si="6"/>
        <v>LAPA/PARANAGUA</v>
      </c>
      <c r="AA117" s="87">
        <f>IFERROR(_xlfn.XLOOKUP(Z117,Rotas!C:C,Rotas!D:D),"0")</f>
        <v>465</v>
      </c>
      <c r="AB117" s="88" t="str">
        <f t="shared" si="7"/>
        <v>BWT</v>
      </c>
      <c r="AC117" s="21" t="str" cm="1">
        <f t="array" ref="AC117">IFERROR(
INDEX(
_xlfn._xlws.FILTER(
BWT!$C$1:$C$100,
ISNUMBER(FIND(
SUBSTITUTE(BWT!$C$1:$C$100," ",""),
SUBSTITUTE(SUBSTITUTE(SUBSTITUTE(F117," ",""),"-",""),CHAR(160),"")
))
),
1
),
"")</f>
        <v>BEZ9A98</v>
      </c>
    </row>
    <row r="118" spans="1:29" hidden="1" x14ac:dyDescent="0.3">
      <c r="A118" s="112" t="s">
        <v>691</v>
      </c>
      <c r="B118" s="112" t="s">
        <v>165</v>
      </c>
      <c r="C118" s="112" t="s">
        <v>582</v>
      </c>
      <c r="D118" s="112" t="s">
        <v>692</v>
      </c>
      <c r="E118" s="112" t="s">
        <v>693</v>
      </c>
      <c r="F118" s="112" t="s">
        <v>653</v>
      </c>
      <c r="G118" s="112" t="s">
        <v>654</v>
      </c>
      <c r="H118" s="112" t="s">
        <v>183</v>
      </c>
      <c r="I118" s="112" t="s">
        <v>172</v>
      </c>
      <c r="J118" s="112" t="s">
        <v>171</v>
      </c>
      <c r="K118" s="112" t="s">
        <v>172</v>
      </c>
      <c r="L118" s="112" t="s">
        <v>184</v>
      </c>
      <c r="M118" s="112" t="s">
        <v>184</v>
      </c>
      <c r="N118" s="112" t="s">
        <v>184</v>
      </c>
      <c r="O118" s="112" t="s">
        <v>655</v>
      </c>
      <c r="P118" s="112" t="s">
        <v>655</v>
      </c>
      <c r="Q118" s="112" t="s">
        <v>656</v>
      </c>
      <c r="R118" s="112">
        <v>26730</v>
      </c>
      <c r="S118" s="112">
        <v>26730</v>
      </c>
      <c r="T118" s="113">
        <v>2650</v>
      </c>
      <c r="U118" s="113">
        <v>2650</v>
      </c>
      <c r="V118" s="113">
        <v>0</v>
      </c>
      <c r="W118" s="113">
        <v>0</v>
      </c>
      <c r="X118" s="112"/>
      <c r="Y118" s="113"/>
      <c r="Z118" s="87" t="str">
        <f t="shared" si="6"/>
        <v>LAPA/PARANAGUA</v>
      </c>
      <c r="AA118" s="87">
        <f>IFERROR(_xlfn.XLOOKUP(Z118,Rotas!C:C,Rotas!D:D),"0")</f>
        <v>465</v>
      </c>
      <c r="AB118" s="88" t="str">
        <f t="shared" si="7"/>
        <v>SUBCONTRATADO</v>
      </c>
      <c r="AC118" s="21" cm="1">
        <f t="array" ref="AC118">IFERROR(
INDEX(
_xlfn._xlws.FILTER(
BWT!$C$1:$C$100,
ISNUMBER(FIND(
SUBSTITUTE(BWT!$C$1:$C$100," ",""),
SUBSTITUTE(SUBSTITUTE(SUBSTITUTE(F118," ",""),"-",""),CHAR(160),"")
))
),
1
),
"")</f>
        <v>0</v>
      </c>
    </row>
    <row r="119" spans="1:29" hidden="1" x14ac:dyDescent="0.3">
      <c r="A119" s="112" t="s">
        <v>694</v>
      </c>
      <c r="B119" s="112" t="s">
        <v>165</v>
      </c>
      <c r="C119" s="112" t="s">
        <v>582</v>
      </c>
      <c r="D119" s="112" t="s">
        <v>695</v>
      </c>
      <c r="E119" s="112" t="s">
        <v>696</v>
      </c>
      <c r="F119" s="112" t="s">
        <v>88</v>
      </c>
      <c r="G119" s="112" t="s">
        <v>371</v>
      </c>
      <c r="H119" s="112" t="s">
        <v>171</v>
      </c>
      <c r="I119" s="112" t="s">
        <v>172</v>
      </c>
      <c r="J119" s="112" t="s">
        <v>183</v>
      </c>
      <c r="K119" s="112" t="s">
        <v>172</v>
      </c>
      <c r="L119" s="112" t="s">
        <v>184</v>
      </c>
      <c r="M119" s="112" t="s">
        <v>176</v>
      </c>
      <c r="N119" s="112" t="s">
        <v>176</v>
      </c>
      <c r="O119" s="112" t="s">
        <v>184</v>
      </c>
      <c r="P119" s="112" t="s">
        <v>184</v>
      </c>
      <c r="Q119" s="112" t="s">
        <v>177</v>
      </c>
      <c r="R119" s="112">
        <v>47669</v>
      </c>
      <c r="S119" s="112">
        <v>73489</v>
      </c>
      <c r="T119" s="113">
        <v>4368.8599999999997</v>
      </c>
      <c r="U119" s="113">
        <v>4368.8599999999997</v>
      </c>
      <c r="V119" s="113">
        <v>0</v>
      </c>
      <c r="W119" s="113">
        <v>0</v>
      </c>
      <c r="X119" s="112"/>
      <c r="Y119" s="113"/>
      <c r="Z119" s="89" t="str">
        <f t="shared" si="6"/>
        <v>PARANAGUA/LAPA</v>
      </c>
      <c r="AA119" s="89">
        <f>IFERROR(_xlfn.XLOOKUP(Z119,Rotas!C:C,Rotas!D:D),"0")</f>
        <v>153</v>
      </c>
      <c r="AB119" s="97" t="str">
        <f t="shared" si="7"/>
        <v>BWT</v>
      </c>
      <c r="AC119" s="21" t="str" cm="1">
        <f t="array" ref="AC119">IFERROR(
INDEX(
_xlfn._xlws.FILTER(
BWT!$C$1:$C$100,
ISNUMBER(FIND(
SUBSTITUTE(BWT!$C$1:$C$100," ",""),
SUBSTITUTE(SUBSTITUTE(SUBSTITUTE(F119," ",""),"-",""),CHAR(160),"")
))
),
1
),
"")</f>
        <v>BDQ4E39</v>
      </c>
    </row>
    <row r="120" spans="1:29" hidden="1" x14ac:dyDescent="0.3">
      <c r="A120" s="112" t="s">
        <v>697</v>
      </c>
      <c r="B120" s="112" t="s">
        <v>165</v>
      </c>
      <c r="C120" s="112" t="s">
        <v>582</v>
      </c>
      <c r="D120" s="112" t="s">
        <v>698</v>
      </c>
      <c r="E120" s="112" t="s">
        <v>699</v>
      </c>
      <c r="F120" s="112" t="s">
        <v>208</v>
      </c>
      <c r="G120" s="112" t="s">
        <v>209</v>
      </c>
      <c r="H120" s="112" t="s">
        <v>171</v>
      </c>
      <c r="I120" s="112" t="s">
        <v>172</v>
      </c>
      <c r="J120" s="112" t="s">
        <v>183</v>
      </c>
      <c r="K120" s="112" t="s">
        <v>172</v>
      </c>
      <c r="L120" s="112" t="s">
        <v>184</v>
      </c>
      <c r="M120" s="112" t="s">
        <v>176</v>
      </c>
      <c r="N120" s="112" t="s">
        <v>176</v>
      </c>
      <c r="O120" s="112" t="s">
        <v>184</v>
      </c>
      <c r="P120" s="112" t="s">
        <v>184</v>
      </c>
      <c r="Q120" s="112" t="s">
        <v>177</v>
      </c>
      <c r="R120" s="112">
        <v>39320</v>
      </c>
      <c r="S120" s="112">
        <v>58360</v>
      </c>
      <c r="T120" s="113">
        <v>4038.16</v>
      </c>
      <c r="U120" s="113">
        <v>4038.16</v>
      </c>
      <c r="V120" s="113">
        <v>0</v>
      </c>
      <c r="W120" s="113">
        <v>0</v>
      </c>
      <c r="X120" s="112"/>
      <c r="Y120" s="113"/>
      <c r="Z120" s="87" t="str">
        <f t="shared" si="6"/>
        <v>PARANAGUA/LAPA</v>
      </c>
      <c r="AA120" s="87">
        <f>IFERROR(_xlfn.XLOOKUP(Z120,Rotas!C:C,Rotas!D:D),"0")</f>
        <v>153</v>
      </c>
      <c r="AB120" s="88" t="str">
        <f t="shared" si="7"/>
        <v>BWT</v>
      </c>
      <c r="AC120" s="21" t="str" cm="1">
        <f t="array" ref="AC120">IFERROR(
INDEX(
_xlfn._xlws.FILTER(
BWT!$C$1:$C$100,
ISNUMBER(FIND(
SUBSTITUTE(BWT!$C$1:$C$100," ",""),
SUBSTITUTE(SUBSTITUTE(SUBSTITUTE(F120," ",""),"-",""),CHAR(160),"")
))
),
1
),
"")</f>
        <v>AWZ2403</v>
      </c>
    </row>
    <row r="121" spans="1:29" x14ac:dyDescent="0.3">
      <c r="A121" s="112" t="s">
        <v>700</v>
      </c>
      <c r="B121" s="112" t="s">
        <v>469</v>
      </c>
      <c r="C121" s="112" t="s">
        <v>582</v>
      </c>
      <c r="D121" s="112" t="s">
        <v>701</v>
      </c>
      <c r="E121" s="112" t="s">
        <v>702</v>
      </c>
      <c r="F121" s="112" t="s">
        <v>703</v>
      </c>
      <c r="G121" s="112" t="s">
        <v>704</v>
      </c>
      <c r="H121" s="112" t="s">
        <v>474</v>
      </c>
      <c r="I121" s="112" t="s">
        <v>243</v>
      </c>
      <c r="J121" s="112" t="s">
        <v>281</v>
      </c>
      <c r="K121" s="112" t="s">
        <v>232</v>
      </c>
      <c r="L121" s="112" t="s">
        <v>705</v>
      </c>
      <c r="M121" s="112" t="s">
        <v>477</v>
      </c>
      <c r="N121" s="112" t="s">
        <v>477</v>
      </c>
      <c r="O121" s="112" t="s">
        <v>705</v>
      </c>
      <c r="P121" s="112" t="s">
        <v>705</v>
      </c>
      <c r="Q121" s="112" t="s">
        <v>246</v>
      </c>
      <c r="R121" s="112">
        <v>59591</v>
      </c>
      <c r="S121" s="112" t="s">
        <v>706</v>
      </c>
      <c r="T121" s="113">
        <v>18505.990000000002</v>
      </c>
      <c r="U121" s="113">
        <v>16285.27</v>
      </c>
      <c r="V121" s="113">
        <v>0</v>
      </c>
      <c r="W121" s="113">
        <v>2220.7199999999998</v>
      </c>
      <c r="X121" s="121">
        <v>0.12</v>
      </c>
      <c r="Y121" s="113">
        <v>18505.990000000002</v>
      </c>
      <c r="Z121" s="87" t="str">
        <f t="shared" si="6"/>
        <v>JOACABA/PAULINIA</v>
      </c>
      <c r="AA121" s="87">
        <f>IFERROR(_xlfn.XLOOKUP(Z121,Rotas!C:C,Rotas!D:D),"0")</f>
        <v>882</v>
      </c>
      <c r="AB121" s="88" t="str">
        <f t="shared" si="7"/>
        <v>SUBCONTRATADO</v>
      </c>
      <c r="AC121" s="21" cm="1">
        <f t="array" ref="AC121">IFERROR(
INDEX(
_xlfn._xlws.FILTER(
BWT!$C$1:$C$100,
ISNUMBER(FIND(
SUBSTITUTE(BWT!$C$1:$C$100," ",""),
SUBSTITUTE(SUBSTITUTE(SUBSTITUTE(F121," ",""),"-",""),CHAR(160),"")
))
),
1
),
"")</f>
        <v>0</v>
      </c>
    </row>
    <row r="122" spans="1:29" x14ac:dyDescent="0.3">
      <c r="A122" s="112" t="s">
        <v>707</v>
      </c>
      <c r="B122" s="112" t="s">
        <v>469</v>
      </c>
      <c r="C122" s="112" t="s">
        <v>582</v>
      </c>
      <c r="D122" s="112" t="s">
        <v>708</v>
      </c>
      <c r="E122" s="112" t="s">
        <v>709</v>
      </c>
      <c r="F122" s="112" t="s">
        <v>703</v>
      </c>
      <c r="G122" s="112" t="s">
        <v>252</v>
      </c>
      <c r="H122" s="112" t="s">
        <v>474</v>
      </c>
      <c r="I122" s="112" t="s">
        <v>243</v>
      </c>
      <c r="J122" s="112" t="s">
        <v>281</v>
      </c>
      <c r="K122" s="112" t="s">
        <v>232</v>
      </c>
      <c r="L122" s="112" t="s">
        <v>705</v>
      </c>
      <c r="M122" s="112" t="s">
        <v>477</v>
      </c>
      <c r="N122" s="112" t="s">
        <v>477</v>
      </c>
      <c r="O122" s="112" t="s">
        <v>705</v>
      </c>
      <c r="P122" s="112" t="s">
        <v>705</v>
      </c>
      <c r="Q122" s="112" t="s">
        <v>246</v>
      </c>
      <c r="R122" s="112">
        <v>58598</v>
      </c>
      <c r="S122" s="112">
        <v>51440</v>
      </c>
      <c r="T122" s="113">
        <v>18197.61</v>
      </c>
      <c r="U122" s="113">
        <v>16013.9</v>
      </c>
      <c r="V122" s="113">
        <v>0</v>
      </c>
      <c r="W122" s="113">
        <v>2183.71</v>
      </c>
      <c r="X122" s="121">
        <v>0.12</v>
      </c>
      <c r="Y122" s="113">
        <v>18197.61</v>
      </c>
      <c r="Z122" s="87" t="str">
        <f t="shared" si="6"/>
        <v>JOACABA/PAULINIA</v>
      </c>
      <c r="AA122" s="87">
        <f>IFERROR(_xlfn.XLOOKUP(Z122,Rotas!C:C,Rotas!D:D),"0")</f>
        <v>882</v>
      </c>
      <c r="AB122" s="88" t="str">
        <f t="shared" si="7"/>
        <v>SUBCONTRATADO</v>
      </c>
      <c r="AC122" s="21" cm="1">
        <f t="array" ref="AC122">IFERROR(
INDEX(
_xlfn._xlws.FILTER(
BWT!$C$1:$C$100,
ISNUMBER(FIND(
SUBSTITUTE(BWT!$C$1:$C$100," ",""),
SUBSTITUTE(SUBSTITUTE(SUBSTITUTE(F122," ",""),"-",""),CHAR(160),"")
))
),
1
),
"")</f>
        <v>0</v>
      </c>
    </row>
    <row r="123" spans="1:29" hidden="1" x14ac:dyDescent="0.3">
      <c r="A123" s="112" t="s">
        <v>710</v>
      </c>
      <c r="B123" s="112" t="s">
        <v>236</v>
      </c>
      <c r="C123" s="112" t="s">
        <v>582</v>
      </c>
      <c r="D123" s="112" t="s">
        <v>515</v>
      </c>
      <c r="E123" s="112"/>
      <c r="F123" s="112" t="s">
        <v>229</v>
      </c>
      <c r="G123" s="112" t="s">
        <v>230</v>
      </c>
      <c r="H123" s="112"/>
      <c r="I123" s="112" t="s">
        <v>174</v>
      </c>
      <c r="J123" s="112"/>
      <c r="K123" s="112" t="s">
        <v>243</v>
      </c>
      <c r="L123" s="112" t="s">
        <v>217</v>
      </c>
      <c r="M123" s="112" t="s">
        <v>217</v>
      </c>
      <c r="N123" s="112" t="s">
        <v>217</v>
      </c>
      <c r="O123" s="112" t="s">
        <v>254</v>
      </c>
      <c r="P123" s="112" t="s">
        <v>254</v>
      </c>
      <c r="Q123" s="112"/>
      <c r="R123" s="112"/>
      <c r="S123" s="112"/>
      <c r="T123" s="113">
        <v>1063.6300000000001</v>
      </c>
      <c r="U123" s="113">
        <v>1063.6300000000001</v>
      </c>
      <c r="V123" s="113">
        <v>0</v>
      </c>
      <c r="W123" s="113">
        <v>0</v>
      </c>
      <c r="X123" s="121">
        <v>0.12</v>
      </c>
      <c r="Y123" s="113">
        <v>1063.6300000000001</v>
      </c>
      <c r="Z123" s="87" t="str">
        <f t="shared" si="6"/>
        <v>CT-e COMPLEMENTAR</v>
      </c>
      <c r="AA123" s="87" t="str">
        <f>IFERROR(_xlfn.XLOOKUP(Z123,Rotas!C:C,Rotas!D:D),"0")</f>
        <v>0</v>
      </c>
      <c r="AB123" s="88" t="str">
        <f t="shared" si="7"/>
        <v>BWT</v>
      </c>
      <c r="AC123" s="21" t="str" cm="1">
        <f t="array" ref="AC123">IFERROR(
INDEX(
_xlfn._xlws.FILTER(
BWT!$C$1:$C$100,
ISNUMBER(FIND(
SUBSTITUTE(BWT!$C$1:$C$100," ",""),
SUBSTITUTE(SUBSTITUTE(SUBSTITUTE(F123," ",""),"-",""),CHAR(160),"")
))
),
1
),
"")</f>
        <v>SEE0I38</v>
      </c>
    </row>
    <row r="124" spans="1:29" hidden="1" x14ac:dyDescent="0.3">
      <c r="A124" s="112" t="s">
        <v>711</v>
      </c>
      <c r="B124" s="112" t="s">
        <v>236</v>
      </c>
      <c r="C124" s="112" t="s">
        <v>582</v>
      </c>
      <c r="D124" s="112" t="s">
        <v>569</v>
      </c>
      <c r="E124" s="112"/>
      <c r="F124" s="112" t="s">
        <v>419</v>
      </c>
      <c r="G124" s="112" t="s">
        <v>420</v>
      </c>
      <c r="H124" s="112"/>
      <c r="I124" s="112" t="s">
        <v>174</v>
      </c>
      <c r="J124" s="112"/>
      <c r="K124" s="112" t="s">
        <v>243</v>
      </c>
      <c r="L124" s="112" t="s">
        <v>217</v>
      </c>
      <c r="M124" s="112" t="s">
        <v>217</v>
      </c>
      <c r="N124" s="112" t="s">
        <v>217</v>
      </c>
      <c r="O124" s="112" t="s">
        <v>254</v>
      </c>
      <c r="P124" s="112" t="s">
        <v>254</v>
      </c>
      <c r="Q124" s="112"/>
      <c r="R124" s="112"/>
      <c r="S124" s="112"/>
      <c r="T124" s="113">
        <v>1063.6300000000001</v>
      </c>
      <c r="U124" s="113">
        <v>1063.6300000000001</v>
      </c>
      <c r="V124" s="113">
        <v>0</v>
      </c>
      <c r="W124" s="113">
        <v>0</v>
      </c>
      <c r="X124" s="121">
        <v>0.12</v>
      </c>
      <c r="Y124" s="113">
        <v>1063.6300000000001</v>
      </c>
      <c r="Z124" s="87" t="str">
        <f t="shared" si="6"/>
        <v>CT-e COMPLEMENTAR</v>
      </c>
      <c r="AA124" s="87" t="str">
        <f>IFERROR(_xlfn.XLOOKUP(Z124,Rotas!C:C,Rotas!D:D),"0")</f>
        <v>0</v>
      </c>
      <c r="AB124" s="88" t="str">
        <f t="shared" si="7"/>
        <v>BWT</v>
      </c>
      <c r="AC124" s="21" t="str" cm="1">
        <f t="array" ref="AC124">IFERROR(
INDEX(
_xlfn._xlws.FILTER(
BWT!$C$1:$C$100,
ISNUMBER(FIND(
SUBSTITUTE(BWT!$C$1:$C$100," ",""),
SUBSTITUTE(SUBSTITUTE(SUBSTITUTE(F124," ",""),"-",""),CHAR(160),"")
))
),
1
),
"")</f>
        <v>SEE2J87</v>
      </c>
    </row>
    <row r="125" spans="1:29" hidden="1" x14ac:dyDescent="0.3">
      <c r="A125" s="112" t="s">
        <v>712</v>
      </c>
      <c r="B125" s="112" t="s">
        <v>236</v>
      </c>
      <c r="C125" s="112" t="s">
        <v>582</v>
      </c>
      <c r="D125" s="112" t="s">
        <v>541</v>
      </c>
      <c r="E125" s="112"/>
      <c r="F125" s="112" t="s">
        <v>505</v>
      </c>
      <c r="G125" s="112" t="s">
        <v>293</v>
      </c>
      <c r="H125" s="112"/>
      <c r="I125" s="112" t="s">
        <v>174</v>
      </c>
      <c r="J125" s="112"/>
      <c r="K125" s="112" t="s">
        <v>243</v>
      </c>
      <c r="L125" s="112" t="s">
        <v>217</v>
      </c>
      <c r="M125" s="112" t="s">
        <v>217</v>
      </c>
      <c r="N125" s="112" t="s">
        <v>217</v>
      </c>
      <c r="O125" s="112" t="s">
        <v>254</v>
      </c>
      <c r="P125" s="112" t="s">
        <v>254</v>
      </c>
      <c r="Q125" s="112"/>
      <c r="R125" s="112"/>
      <c r="S125" s="112"/>
      <c r="T125" s="113">
        <v>1063.6300000000001</v>
      </c>
      <c r="U125" s="113">
        <v>1063.6300000000001</v>
      </c>
      <c r="V125" s="113">
        <v>0</v>
      </c>
      <c r="W125" s="113">
        <v>0</v>
      </c>
      <c r="X125" s="121">
        <v>0.12</v>
      </c>
      <c r="Y125" s="113">
        <v>1063.6300000000001</v>
      </c>
      <c r="Z125" s="89" t="str">
        <f t="shared" si="6"/>
        <v>CT-e COMPLEMENTAR</v>
      </c>
      <c r="AA125" s="89" t="str">
        <f>IFERROR(_xlfn.XLOOKUP(Z125,Rotas!C:C,Rotas!D:D),"0")</f>
        <v>0</v>
      </c>
      <c r="AB125" s="97" t="str">
        <f t="shared" si="7"/>
        <v>BWT</v>
      </c>
      <c r="AC125" s="21" t="str" cm="1">
        <f t="array" ref="AC125">IFERROR(
INDEX(
_xlfn._xlws.FILTER(
BWT!$C$1:$C$100,
ISNUMBER(FIND(
SUBSTITUTE(BWT!$C$1:$C$100," ",""),
SUBSTITUTE(SUBSTITUTE(SUBSTITUTE(F125," ",""),"-",""),CHAR(160),"")
))
),
1
),
"")</f>
        <v>TAW8C09</v>
      </c>
    </row>
    <row r="126" spans="1:29" hidden="1" x14ac:dyDescent="0.3">
      <c r="A126" s="112" t="s">
        <v>713</v>
      </c>
      <c r="B126" s="112" t="s">
        <v>236</v>
      </c>
      <c r="C126" s="112" t="s">
        <v>582</v>
      </c>
      <c r="D126" s="112" t="s">
        <v>572</v>
      </c>
      <c r="E126" s="112"/>
      <c r="F126" s="112" t="s">
        <v>714</v>
      </c>
      <c r="G126" s="112" t="s">
        <v>715</v>
      </c>
      <c r="H126" s="112"/>
      <c r="I126" s="112" t="s">
        <v>174</v>
      </c>
      <c r="J126" s="112"/>
      <c r="K126" s="112" t="s">
        <v>232</v>
      </c>
      <c r="L126" s="112" t="s">
        <v>217</v>
      </c>
      <c r="M126" s="112" t="s">
        <v>716</v>
      </c>
      <c r="N126" s="112" t="s">
        <v>716</v>
      </c>
      <c r="O126" s="112" t="s">
        <v>217</v>
      </c>
      <c r="P126" s="112" t="s">
        <v>217</v>
      </c>
      <c r="Q126" s="112"/>
      <c r="R126" s="112"/>
      <c r="S126" s="112"/>
      <c r="T126" s="113">
        <v>222.3</v>
      </c>
      <c r="U126" s="113">
        <v>222.3</v>
      </c>
      <c r="V126" s="113">
        <v>0</v>
      </c>
      <c r="W126" s="113">
        <v>0</v>
      </c>
      <c r="X126" s="121">
        <v>0.12</v>
      </c>
      <c r="Y126" s="113">
        <v>222.3</v>
      </c>
      <c r="Z126" s="87" t="str">
        <f t="shared" si="6"/>
        <v>CT-e COMPLEMENTAR</v>
      </c>
      <c r="AA126" s="87" t="str">
        <f>IFERROR(_xlfn.XLOOKUP(Z126,Rotas!C:C,Rotas!D:D),"0")</f>
        <v>0</v>
      </c>
      <c r="AB126" s="88" t="str">
        <f t="shared" si="7"/>
        <v>BWT</v>
      </c>
      <c r="AC126" s="21" t="str" cm="1">
        <f t="array" ref="AC126">IFERROR(
INDEX(
_xlfn._xlws.FILTER(
BWT!$C$1:$C$100,
ISNUMBER(FIND(
SUBSTITUTE(BWT!$C$1:$C$100," ",""),
SUBSTITUTE(SUBSTITUTE(SUBSTITUTE(F126," ",""),"-",""),CHAR(160),"")
))
),
1
),
"")</f>
        <v>BDQ4E19</v>
      </c>
    </row>
    <row r="127" spans="1:29" hidden="1" x14ac:dyDescent="0.3">
      <c r="A127" s="112" t="s">
        <v>717</v>
      </c>
      <c r="B127" s="112" t="s">
        <v>236</v>
      </c>
      <c r="C127" s="112" t="s">
        <v>582</v>
      </c>
      <c r="D127" s="112" t="s">
        <v>575</v>
      </c>
      <c r="E127" s="112" t="s">
        <v>718</v>
      </c>
      <c r="F127" s="112" t="s">
        <v>714</v>
      </c>
      <c r="G127" s="112" t="s">
        <v>715</v>
      </c>
      <c r="H127" s="112" t="s">
        <v>272</v>
      </c>
      <c r="I127" s="112" t="s">
        <v>174</v>
      </c>
      <c r="J127" s="112" t="s">
        <v>233</v>
      </c>
      <c r="K127" s="112" t="s">
        <v>172</v>
      </c>
      <c r="L127" s="112" t="s">
        <v>336</v>
      </c>
      <c r="M127" s="112" t="s">
        <v>273</v>
      </c>
      <c r="N127" s="112" t="s">
        <v>273</v>
      </c>
      <c r="O127" s="112" t="s">
        <v>336</v>
      </c>
      <c r="P127" s="112" t="s">
        <v>336</v>
      </c>
      <c r="Q127" s="112" t="s">
        <v>246</v>
      </c>
      <c r="R127" s="112">
        <v>57047</v>
      </c>
      <c r="S127" s="112">
        <v>75490</v>
      </c>
      <c r="T127" s="113">
        <v>7986.58</v>
      </c>
      <c r="U127" s="113">
        <v>6636.69</v>
      </c>
      <c r="V127" s="113">
        <v>391.5</v>
      </c>
      <c r="W127" s="113">
        <v>958.39</v>
      </c>
      <c r="X127" s="121">
        <v>0.12</v>
      </c>
      <c r="Y127" s="113">
        <v>7986.58</v>
      </c>
      <c r="Z127" s="89" t="str">
        <f t="shared" si="6"/>
        <v>MUITOS CAPOES/ARAUCARIA</v>
      </c>
      <c r="AA127" s="89">
        <f>IFERROR(_xlfn.XLOOKUP(Z127,Rotas!C:C,Rotas!D:D),"0")</f>
        <v>495</v>
      </c>
      <c r="AB127" s="97" t="str">
        <f t="shared" si="7"/>
        <v>BWT</v>
      </c>
      <c r="AC127" s="21" t="str" cm="1">
        <f t="array" ref="AC127">IFERROR(
INDEX(
_xlfn._xlws.FILTER(
BWT!$C$1:$C$100,
ISNUMBER(FIND(
SUBSTITUTE(BWT!$C$1:$C$100," ",""),
SUBSTITUTE(SUBSTITUTE(SUBSTITUTE(F127," ",""),"-",""),CHAR(160),"")
))
),
1
),
"")</f>
        <v>BDQ4E19</v>
      </c>
    </row>
    <row r="128" spans="1:29" hidden="1" x14ac:dyDescent="0.3">
      <c r="A128" s="112" t="s">
        <v>719</v>
      </c>
      <c r="B128" s="112" t="s">
        <v>236</v>
      </c>
      <c r="C128" s="112" t="s">
        <v>582</v>
      </c>
      <c r="D128" s="112" t="s">
        <v>583</v>
      </c>
      <c r="E128" s="112" t="s">
        <v>720</v>
      </c>
      <c r="F128" s="112" t="s">
        <v>590</v>
      </c>
      <c r="G128" s="112" t="s">
        <v>591</v>
      </c>
      <c r="H128" s="112" t="s">
        <v>272</v>
      </c>
      <c r="I128" s="112" t="s">
        <v>174</v>
      </c>
      <c r="J128" s="112" t="s">
        <v>233</v>
      </c>
      <c r="K128" s="112" t="s">
        <v>172</v>
      </c>
      <c r="L128" s="112" t="s">
        <v>336</v>
      </c>
      <c r="M128" s="112" t="s">
        <v>273</v>
      </c>
      <c r="N128" s="112" t="s">
        <v>273</v>
      </c>
      <c r="O128" s="112" t="s">
        <v>336</v>
      </c>
      <c r="P128" s="112" t="s">
        <v>336</v>
      </c>
      <c r="Q128" s="112" t="s">
        <v>246</v>
      </c>
      <c r="R128" s="112">
        <v>57115</v>
      </c>
      <c r="S128" s="112">
        <v>76200</v>
      </c>
      <c r="T128" s="113">
        <v>7996.1</v>
      </c>
      <c r="U128" s="113">
        <v>6645.07</v>
      </c>
      <c r="V128" s="113">
        <v>391.5</v>
      </c>
      <c r="W128" s="113">
        <v>959.53</v>
      </c>
      <c r="X128" s="121">
        <v>0.12</v>
      </c>
      <c r="Y128" s="113">
        <v>7996.1</v>
      </c>
      <c r="Z128" s="87" t="str">
        <f t="shared" si="6"/>
        <v>MUITOS CAPOES/ARAUCARIA</v>
      </c>
      <c r="AA128" s="87">
        <f>IFERROR(_xlfn.XLOOKUP(Z128,Rotas!C:C,Rotas!D:D),"0")</f>
        <v>495</v>
      </c>
      <c r="AB128" s="88" t="str">
        <f t="shared" si="7"/>
        <v>BWT</v>
      </c>
      <c r="AC128" s="21" t="str" cm="1">
        <f t="array" ref="AC128">IFERROR(
INDEX(
_xlfn._xlws.FILTER(
BWT!$C$1:$C$100,
ISNUMBER(FIND(
SUBSTITUTE(BWT!$C$1:$C$100," ",""),
SUBSTITUTE(SUBSTITUTE(SUBSTITUTE(F128," ",""),"-",""),CHAR(160),"")
))
),
1
),
"")</f>
        <v>RHH5C95</v>
      </c>
    </row>
    <row r="129" spans="1:29" hidden="1" x14ac:dyDescent="0.3">
      <c r="A129" s="112" t="s">
        <v>1749</v>
      </c>
      <c r="B129" s="112" t="s">
        <v>226</v>
      </c>
      <c r="C129" s="112" t="s">
        <v>722</v>
      </c>
      <c r="D129" s="112" t="s">
        <v>984</v>
      </c>
      <c r="E129" s="112" t="s">
        <v>1750</v>
      </c>
      <c r="F129" s="112" t="s">
        <v>287</v>
      </c>
      <c r="G129" s="112" t="s">
        <v>288</v>
      </c>
      <c r="H129" s="112" t="s">
        <v>280</v>
      </c>
      <c r="I129" s="112" t="s">
        <v>232</v>
      </c>
      <c r="J129" s="112" t="s">
        <v>281</v>
      </c>
      <c r="K129" s="112" t="s">
        <v>232</v>
      </c>
      <c r="L129" s="112" t="s">
        <v>254</v>
      </c>
      <c r="M129" s="112" t="s">
        <v>254</v>
      </c>
      <c r="N129" s="112" t="s">
        <v>598</v>
      </c>
      <c r="O129" s="112" t="s">
        <v>217</v>
      </c>
      <c r="P129" s="112" t="s">
        <v>217</v>
      </c>
      <c r="Q129" s="112" t="s">
        <v>283</v>
      </c>
      <c r="R129" s="112">
        <v>61295</v>
      </c>
      <c r="S129" s="112">
        <v>44120</v>
      </c>
      <c r="T129" s="113">
        <v>3149.73</v>
      </c>
      <c r="U129" s="113">
        <v>2771.76</v>
      </c>
      <c r="V129" s="113">
        <v>0</v>
      </c>
      <c r="W129" s="113">
        <v>377.97</v>
      </c>
      <c r="X129" s="121">
        <v>0.12</v>
      </c>
      <c r="Y129" s="113">
        <v>3149.73</v>
      </c>
      <c r="Z129" s="87" t="str">
        <f t="shared" si="6"/>
        <v>SANTOS/PAULINIA</v>
      </c>
      <c r="AA129" s="87">
        <f>IFERROR(_xlfn.XLOOKUP(Z129,Rotas!C:C,Rotas!D:D),"0")</f>
        <v>215</v>
      </c>
      <c r="AB129" s="88" t="str">
        <f t="shared" si="7"/>
        <v>BWT</v>
      </c>
      <c r="AC129" s="21" t="str" cm="1">
        <f t="array" ref="AC129">IFERROR(
INDEX(
_xlfn._xlws.FILTER(
BWT!$C$1:$C$100,
ISNUMBER(FIND(
SUBSTITUTE(BWT!$C$1:$C$100," ",""),
SUBSTITUTE(SUBSTITUTE(SUBSTITUTE(F129," ",""),"-",""),CHAR(160),"")
))
),
1
),
"")</f>
        <v>SEE2J92</v>
      </c>
    </row>
    <row r="130" spans="1:29" hidden="1" x14ac:dyDescent="0.3">
      <c r="A130" s="112" t="s">
        <v>1751</v>
      </c>
      <c r="B130" s="112" t="s">
        <v>226</v>
      </c>
      <c r="C130" s="112" t="s">
        <v>722</v>
      </c>
      <c r="D130" s="112" t="s">
        <v>987</v>
      </c>
      <c r="E130" s="112" t="s">
        <v>1752</v>
      </c>
      <c r="F130" s="112" t="s">
        <v>390</v>
      </c>
      <c r="G130" s="112" t="s">
        <v>391</v>
      </c>
      <c r="H130" s="112" t="s">
        <v>280</v>
      </c>
      <c r="I130" s="112" t="s">
        <v>232</v>
      </c>
      <c r="J130" s="112" t="s">
        <v>281</v>
      </c>
      <c r="K130" s="112" t="s">
        <v>232</v>
      </c>
      <c r="L130" s="112" t="s">
        <v>254</v>
      </c>
      <c r="M130" s="112" t="s">
        <v>254</v>
      </c>
      <c r="N130" s="112" t="s">
        <v>598</v>
      </c>
      <c r="O130" s="112" t="s">
        <v>217</v>
      </c>
      <c r="P130" s="112" t="s">
        <v>217</v>
      </c>
      <c r="Q130" s="112" t="s">
        <v>283</v>
      </c>
      <c r="R130" s="112">
        <v>61276</v>
      </c>
      <c r="S130" s="112">
        <v>44143</v>
      </c>
      <c r="T130" s="113">
        <v>3150.15</v>
      </c>
      <c r="U130" s="113">
        <v>2772.13</v>
      </c>
      <c r="V130" s="113">
        <v>0</v>
      </c>
      <c r="W130" s="113">
        <v>378.02</v>
      </c>
      <c r="X130" s="121">
        <v>0.12</v>
      </c>
      <c r="Y130" s="113">
        <v>3150.15</v>
      </c>
      <c r="Z130" s="87" t="str">
        <f t="shared" ref="Z130:Z161" si="8">IF(H130&amp;J130="","CT-e COMPLEMENTAR",H130&amp;"/"&amp;J130)</f>
        <v>SANTOS/PAULINIA</v>
      </c>
      <c r="AA130" s="87">
        <f>IFERROR(_xlfn.XLOOKUP(Z130,Rotas!C:C,Rotas!D:D),"0")</f>
        <v>215</v>
      </c>
      <c r="AB130" s="88" t="str">
        <f t="shared" ref="AB130:AB161" si="9">IF(AC130=0,"SUBCONTRATADO","BWT")</f>
        <v>BWT</v>
      </c>
      <c r="AC130" s="21" t="str" cm="1">
        <f t="array" ref="AC130">IFERROR(
INDEX(
_xlfn._xlws.FILTER(
BWT!$C$1:$C$100,
ISNUMBER(FIND(
SUBSTITUTE(BWT!$C$1:$C$100," ",""),
SUBSTITUTE(SUBSTITUTE(SUBSTITUTE(F130," ",""),"-",""),CHAR(160),"")
))
),
1
),
"")</f>
        <v>SEE2J90</v>
      </c>
    </row>
    <row r="131" spans="1:29" hidden="1" x14ac:dyDescent="0.3">
      <c r="A131" s="112" t="s">
        <v>1753</v>
      </c>
      <c r="B131" s="112" t="s">
        <v>226</v>
      </c>
      <c r="C131" s="112" t="s">
        <v>722</v>
      </c>
      <c r="D131" s="112" t="s">
        <v>1754</v>
      </c>
      <c r="E131" s="112" t="s">
        <v>1755</v>
      </c>
      <c r="F131" s="112" t="s">
        <v>317</v>
      </c>
      <c r="G131" s="112" t="s">
        <v>318</v>
      </c>
      <c r="H131" s="112" t="s">
        <v>280</v>
      </c>
      <c r="I131" s="112" t="s">
        <v>232</v>
      </c>
      <c r="J131" s="112" t="s">
        <v>281</v>
      </c>
      <c r="K131" s="112" t="s">
        <v>232</v>
      </c>
      <c r="L131" s="112" t="s">
        <v>254</v>
      </c>
      <c r="M131" s="112" t="s">
        <v>254</v>
      </c>
      <c r="N131" s="112" t="s">
        <v>598</v>
      </c>
      <c r="O131" s="112" t="s">
        <v>217</v>
      </c>
      <c r="P131" s="112" t="s">
        <v>217</v>
      </c>
      <c r="Q131" s="112" t="s">
        <v>283</v>
      </c>
      <c r="R131" s="112">
        <v>44474</v>
      </c>
      <c r="S131" s="112">
        <v>32039</v>
      </c>
      <c r="T131" s="113">
        <v>2360.16</v>
      </c>
      <c r="U131" s="113">
        <v>2076.94</v>
      </c>
      <c r="V131" s="113">
        <v>0</v>
      </c>
      <c r="W131" s="113">
        <v>283.22000000000003</v>
      </c>
      <c r="X131" s="121">
        <v>0.12</v>
      </c>
      <c r="Y131" s="113">
        <v>2360.16</v>
      </c>
      <c r="Z131" s="89" t="str">
        <f t="shared" si="8"/>
        <v>SANTOS/PAULINIA</v>
      </c>
      <c r="AA131" s="89">
        <f>IFERROR(_xlfn.XLOOKUP(Z131,Rotas!C:C,Rotas!D:D),"0")</f>
        <v>215</v>
      </c>
      <c r="AB131" s="97" t="str">
        <f t="shared" si="9"/>
        <v>BWT</v>
      </c>
      <c r="AC131" s="21" t="str" cm="1">
        <f t="array" ref="AC131">IFERROR(
INDEX(
_xlfn._xlws.FILTER(
BWT!$C$1:$C$100,
ISNUMBER(FIND(
SUBSTITUTE(BWT!$C$1:$C$100," ",""),
SUBSTITUTE(SUBSTITUTE(SUBSTITUTE(F131," ",""),"-",""),CHAR(160),"")
))
),
1
),
"")</f>
        <v>BAX9A94</v>
      </c>
    </row>
    <row r="132" spans="1:29" hidden="1" x14ac:dyDescent="0.3">
      <c r="A132" s="112" t="s">
        <v>1756</v>
      </c>
      <c r="B132" s="112" t="s">
        <v>226</v>
      </c>
      <c r="C132" s="112" t="s">
        <v>722</v>
      </c>
      <c r="D132" s="112" t="s">
        <v>1757</v>
      </c>
      <c r="E132" s="112" t="s">
        <v>1758</v>
      </c>
      <c r="F132" s="112" t="s">
        <v>297</v>
      </c>
      <c r="G132" s="112" t="s">
        <v>298</v>
      </c>
      <c r="H132" s="112" t="s">
        <v>280</v>
      </c>
      <c r="I132" s="112" t="s">
        <v>232</v>
      </c>
      <c r="J132" s="112" t="s">
        <v>281</v>
      </c>
      <c r="K132" s="112" t="s">
        <v>232</v>
      </c>
      <c r="L132" s="112" t="s">
        <v>254</v>
      </c>
      <c r="M132" s="112" t="s">
        <v>254</v>
      </c>
      <c r="N132" s="112" t="s">
        <v>282</v>
      </c>
      <c r="O132" s="112" t="s">
        <v>217</v>
      </c>
      <c r="P132" s="112" t="s">
        <v>217</v>
      </c>
      <c r="Q132" s="112" t="s">
        <v>498</v>
      </c>
      <c r="R132" s="112">
        <v>60488</v>
      </c>
      <c r="S132" s="112">
        <v>50120</v>
      </c>
      <c r="T132" s="113">
        <v>3150.19</v>
      </c>
      <c r="U132" s="113">
        <v>2772.17</v>
      </c>
      <c r="V132" s="113">
        <v>0</v>
      </c>
      <c r="W132" s="113">
        <v>378.02</v>
      </c>
      <c r="X132" s="121">
        <v>0.12</v>
      </c>
      <c r="Y132" s="113">
        <v>3150.19</v>
      </c>
      <c r="Z132" s="87" t="str">
        <f t="shared" si="8"/>
        <v>SANTOS/PAULINIA</v>
      </c>
      <c r="AA132" s="87">
        <f>IFERROR(_xlfn.XLOOKUP(Z132,Rotas!C:C,Rotas!D:D),"0")</f>
        <v>215</v>
      </c>
      <c r="AB132" s="88" t="str">
        <f t="shared" si="9"/>
        <v>BWT</v>
      </c>
      <c r="AC132" s="21" t="str" cm="1">
        <f t="array" ref="AC132">IFERROR(
INDEX(
_xlfn._xlws.FILTER(
BWT!$C$1:$C$100,
ISNUMBER(FIND(
SUBSTITUTE(BWT!$C$1:$C$100," ",""),
SUBSTITUTE(SUBSTITUTE(SUBSTITUTE(F132," ",""),"-",""),CHAR(160),"")
))
),
1
),
"")</f>
        <v>SEX2C73</v>
      </c>
    </row>
    <row r="133" spans="1:29" x14ac:dyDescent="0.3">
      <c r="A133" s="112" t="s">
        <v>1759</v>
      </c>
      <c r="B133" s="112" t="s">
        <v>226</v>
      </c>
      <c r="C133" s="112" t="s">
        <v>722</v>
      </c>
      <c r="D133" s="112" t="s">
        <v>1760</v>
      </c>
      <c r="E133" s="112" t="s">
        <v>1761</v>
      </c>
      <c r="F133" s="112" t="s">
        <v>901</v>
      </c>
      <c r="G133" s="112" t="s">
        <v>363</v>
      </c>
      <c r="H133" s="112" t="s">
        <v>280</v>
      </c>
      <c r="I133" s="112" t="s">
        <v>232</v>
      </c>
      <c r="J133" s="112" t="s">
        <v>475</v>
      </c>
      <c r="K133" s="112" t="s">
        <v>232</v>
      </c>
      <c r="L133" s="112" t="s">
        <v>476</v>
      </c>
      <c r="M133" s="112" t="s">
        <v>1762</v>
      </c>
      <c r="N133" s="112" t="s">
        <v>1762</v>
      </c>
      <c r="O133" s="112" t="s">
        <v>476</v>
      </c>
      <c r="P133" s="112" t="s">
        <v>476</v>
      </c>
      <c r="Q133" s="112" t="s">
        <v>498</v>
      </c>
      <c r="R133" s="112">
        <v>59751</v>
      </c>
      <c r="S133" s="112">
        <v>49940</v>
      </c>
      <c r="T133" s="113">
        <v>1609.69</v>
      </c>
      <c r="U133" s="113">
        <v>1416.53</v>
      </c>
      <c r="V133" s="113">
        <v>0</v>
      </c>
      <c r="W133" s="113">
        <v>193.16</v>
      </c>
      <c r="X133" s="121">
        <v>0.12</v>
      </c>
      <c r="Y133" s="113">
        <v>1609.69</v>
      </c>
      <c r="Z133" s="87" t="str">
        <f t="shared" si="8"/>
        <v>SANTOS/CUBATAO</v>
      </c>
      <c r="AA133" s="87">
        <f>IFERROR(_xlfn.XLOOKUP(Z133,Rotas!C:C,Rotas!D:D),"0")</f>
        <v>20</v>
      </c>
      <c r="AB133" s="88" t="str">
        <f t="shared" si="9"/>
        <v>BWT</v>
      </c>
      <c r="AC133" s="21" t="str" cm="1">
        <f t="array" ref="AC133">IFERROR(
INDEX(
_xlfn._xlws.FILTER(
BWT!$C$1:$C$100,
ISNUMBER(FIND(
SUBSTITUTE(BWT!$C$1:$C$100," ",""),
SUBSTITUTE(SUBSTITUTE(SUBSTITUTE(F133," ",""),"-",""),CHAR(160),"")
))
),
1
),
"")</f>
        <v>SFC5G04</v>
      </c>
    </row>
    <row r="134" spans="1:29" hidden="1" x14ac:dyDescent="0.3">
      <c r="A134" s="112" t="s">
        <v>1763</v>
      </c>
      <c r="B134" s="112" t="s">
        <v>226</v>
      </c>
      <c r="C134" s="112" t="s">
        <v>722</v>
      </c>
      <c r="D134" s="112" t="s">
        <v>1764</v>
      </c>
      <c r="E134" s="112" t="s">
        <v>1765</v>
      </c>
      <c r="F134" s="112" t="s">
        <v>433</v>
      </c>
      <c r="G134" s="112" t="s">
        <v>434</v>
      </c>
      <c r="H134" s="112" t="s">
        <v>280</v>
      </c>
      <c r="I134" s="112" t="s">
        <v>232</v>
      </c>
      <c r="J134" s="112" t="s">
        <v>281</v>
      </c>
      <c r="K134" s="112" t="s">
        <v>232</v>
      </c>
      <c r="L134" s="112" t="s">
        <v>254</v>
      </c>
      <c r="M134" s="112" t="s">
        <v>254</v>
      </c>
      <c r="N134" s="112" t="s">
        <v>282</v>
      </c>
      <c r="O134" s="112" t="s">
        <v>217</v>
      </c>
      <c r="P134" s="112" t="s">
        <v>217</v>
      </c>
      <c r="Q134" s="112" t="s">
        <v>498</v>
      </c>
      <c r="R134" s="112">
        <v>56576</v>
      </c>
      <c r="S134" s="112">
        <v>46641</v>
      </c>
      <c r="T134" s="113">
        <v>3150.25</v>
      </c>
      <c r="U134" s="113">
        <v>2772.22</v>
      </c>
      <c r="V134" s="113">
        <v>0</v>
      </c>
      <c r="W134" s="113">
        <v>378.03</v>
      </c>
      <c r="X134" s="121">
        <v>0.12</v>
      </c>
      <c r="Y134" s="113">
        <v>3150.25</v>
      </c>
      <c r="Z134" s="87" t="str">
        <f t="shared" si="8"/>
        <v>SANTOS/PAULINIA</v>
      </c>
      <c r="AA134" s="87">
        <f>IFERROR(_xlfn.XLOOKUP(Z134,Rotas!C:C,Rotas!D:D),"0")</f>
        <v>215</v>
      </c>
      <c r="AB134" s="88" t="str">
        <f t="shared" si="9"/>
        <v>BWT</v>
      </c>
      <c r="AC134" s="21" t="str" cm="1">
        <f t="array" ref="AC134">IFERROR(
INDEX(
_xlfn._xlws.FILTER(
BWT!$C$1:$C$100,
ISNUMBER(FIND(
SUBSTITUTE(BWT!$C$1:$C$100," ",""),
SUBSTITUTE(SUBSTITUTE(SUBSTITUTE(F134," ",""),"-",""),CHAR(160),"")
))
),
1
),
"")</f>
        <v>SEE0I05</v>
      </c>
    </row>
    <row r="135" spans="1:29" x14ac:dyDescent="0.3">
      <c r="A135" s="112" t="s">
        <v>1766</v>
      </c>
      <c r="B135" s="112" t="s">
        <v>226</v>
      </c>
      <c r="C135" s="112" t="s">
        <v>722</v>
      </c>
      <c r="D135" s="112" t="s">
        <v>1767</v>
      </c>
      <c r="E135" s="112" t="s">
        <v>1768</v>
      </c>
      <c r="F135" s="112" t="s">
        <v>1769</v>
      </c>
      <c r="G135" s="112" t="s">
        <v>1770</v>
      </c>
      <c r="H135" s="112" t="s">
        <v>280</v>
      </c>
      <c r="I135" s="112" t="s">
        <v>232</v>
      </c>
      <c r="J135" s="112" t="s">
        <v>475</v>
      </c>
      <c r="K135" s="112" t="s">
        <v>232</v>
      </c>
      <c r="L135" s="112" t="s">
        <v>476</v>
      </c>
      <c r="M135" s="112" t="s">
        <v>1762</v>
      </c>
      <c r="N135" s="112" t="s">
        <v>1762</v>
      </c>
      <c r="O135" s="112" t="s">
        <v>476</v>
      </c>
      <c r="P135" s="112" t="s">
        <v>476</v>
      </c>
      <c r="Q135" s="112" t="s">
        <v>498</v>
      </c>
      <c r="R135" s="112">
        <v>60062</v>
      </c>
      <c r="S135" s="112">
        <v>50200</v>
      </c>
      <c r="T135" s="113">
        <v>1618.07</v>
      </c>
      <c r="U135" s="113">
        <v>1423.9</v>
      </c>
      <c r="V135" s="113">
        <v>0</v>
      </c>
      <c r="W135" s="113">
        <v>194.17</v>
      </c>
      <c r="X135" s="121">
        <v>0.12</v>
      </c>
      <c r="Y135" s="113">
        <v>1618.07</v>
      </c>
      <c r="Z135" s="87" t="str">
        <f t="shared" si="8"/>
        <v>SANTOS/CUBATAO</v>
      </c>
      <c r="AA135" s="87">
        <f>IFERROR(_xlfn.XLOOKUP(Z135,Rotas!C:C,Rotas!D:D),"0")</f>
        <v>20</v>
      </c>
      <c r="AB135" s="88" t="str">
        <f t="shared" si="9"/>
        <v>BWT</v>
      </c>
      <c r="AC135" s="21" t="str" cm="1">
        <f t="array" ref="AC135">IFERROR(
INDEX(
_xlfn._xlws.FILTER(
BWT!$C$1:$C$100,
ISNUMBER(FIND(
SUBSTITUTE(BWT!$C$1:$C$100," ",""),
SUBSTITUTE(SUBSTITUTE(SUBSTITUTE(F135," ",""),"-",""),CHAR(160),"")
))
),
1
),
"")</f>
        <v>TAW2A67</v>
      </c>
    </row>
    <row r="136" spans="1:29" x14ac:dyDescent="0.3">
      <c r="A136" s="112" t="s">
        <v>1771</v>
      </c>
      <c r="B136" s="112" t="s">
        <v>226</v>
      </c>
      <c r="C136" s="112" t="s">
        <v>722</v>
      </c>
      <c r="D136" s="112" t="s">
        <v>1772</v>
      </c>
      <c r="E136" s="112" t="s">
        <v>1773</v>
      </c>
      <c r="F136" s="112" t="s">
        <v>481</v>
      </c>
      <c r="G136" s="112" t="s">
        <v>482</v>
      </c>
      <c r="H136" s="112" t="s">
        <v>280</v>
      </c>
      <c r="I136" s="112" t="s">
        <v>232</v>
      </c>
      <c r="J136" s="112" t="s">
        <v>475</v>
      </c>
      <c r="K136" s="112" t="s">
        <v>232</v>
      </c>
      <c r="L136" s="112" t="s">
        <v>476</v>
      </c>
      <c r="M136" s="112" t="s">
        <v>282</v>
      </c>
      <c r="N136" s="112" t="s">
        <v>282</v>
      </c>
      <c r="O136" s="112" t="s">
        <v>476</v>
      </c>
      <c r="P136" s="112" t="s">
        <v>476</v>
      </c>
      <c r="Q136" s="112" t="s">
        <v>498</v>
      </c>
      <c r="R136" s="112">
        <v>59580</v>
      </c>
      <c r="S136" s="112">
        <v>49320</v>
      </c>
      <c r="T136" s="113">
        <v>1605.08</v>
      </c>
      <c r="U136" s="113">
        <v>1412.47</v>
      </c>
      <c r="V136" s="113">
        <v>0</v>
      </c>
      <c r="W136" s="113">
        <v>192.61</v>
      </c>
      <c r="X136" s="121">
        <v>0.12</v>
      </c>
      <c r="Y136" s="113">
        <v>1605.08</v>
      </c>
      <c r="Z136" s="87" t="str">
        <f t="shared" si="8"/>
        <v>SANTOS/CUBATAO</v>
      </c>
      <c r="AA136" s="87">
        <f>IFERROR(_xlfn.XLOOKUP(Z136,Rotas!C:C,Rotas!D:D),"0")</f>
        <v>20</v>
      </c>
      <c r="AB136" s="88" t="str">
        <f t="shared" si="9"/>
        <v>BWT</v>
      </c>
      <c r="AC136" s="21" t="str" cm="1">
        <f t="array" ref="AC136">IFERROR(
INDEX(
_xlfn._xlws.FILTER(
BWT!$C$1:$C$100,
ISNUMBER(FIND(
SUBSTITUTE(BWT!$C$1:$C$100," ",""),
SUBSTITUTE(SUBSTITUTE(SUBSTITUTE(F136," ",""),"-",""),CHAR(160),"")
))
),
1
),
"")</f>
        <v>SEY8B40</v>
      </c>
    </row>
    <row r="137" spans="1:29" x14ac:dyDescent="0.3">
      <c r="A137" s="112" t="s">
        <v>1774</v>
      </c>
      <c r="B137" s="112" t="s">
        <v>226</v>
      </c>
      <c r="C137" s="112" t="s">
        <v>722</v>
      </c>
      <c r="D137" s="112" t="s">
        <v>1775</v>
      </c>
      <c r="E137" s="112" t="s">
        <v>1776</v>
      </c>
      <c r="F137" s="112" t="s">
        <v>472</v>
      </c>
      <c r="G137" s="112" t="s">
        <v>473</v>
      </c>
      <c r="H137" s="112" t="s">
        <v>280</v>
      </c>
      <c r="I137" s="112" t="s">
        <v>232</v>
      </c>
      <c r="J137" s="112" t="s">
        <v>475</v>
      </c>
      <c r="K137" s="112" t="s">
        <v>232</v>
      </c>
      <c r="L137" s="112" t="s">
        <v>476</v>
      </c>
      <c r="M137" s="112" t="s">
        <v>282</v>
      </c>
      <c r="N137" s="112" t="s">
        <v>282</v>
      </c>
      <c r="O137" s="112" t="s">
        <v>476</v>
      </c>
      <c r="P137" s="112" t="s">
        <v>476</v>
      </c>
      <c r="Q137" s="112" t="s">
        <v>498</v>
      </c>
      <c r="R137" s="112">
        <v>59441</v>
      </c>
      <c r="S137" s="112">
        <v>49300</v>
      </c>
      <c r="T137" s="113">
        <v>1601.34</v>
      </c>
      <c r="U137" s="113">
        <v>1409.18</v>
      </c>
      <c r="V137" s="113">
        <v>0</v>
      </c>
      <c r="W137" s="113">
        <v>192.16</v>
      </c>
      <c r="X137" s="121">
        <v>0.12</v>
      </c>
      <c r="Y137" s="113">
        <v>1601.34</v>
      </c>
      <c r="Z137" s="87" t="str">
        <f t="shared" si="8"/>
        <v>SANTOS/CUBATAO</v>
      </c>
      <c r="AA137" s="87">
        <f>IFERROR(_xlfn.XLOOKUP(Z137,Rotas!C:C,Rotas!D:D),"0")</f>
        <v>20</v>
      </c>
      <c r="AB137" s="88" t="str">
        <f t="shared" si="9"/>
        <v>BWT</v>
      </c>
      <c r="AC137" s="21" t="str" cm="1">
        <f t="array" ref="AC137">IFERROR(
INDEX(
_xlfn._xlws.FILTER(
BWT!$C$1:$C$100,
ISNUMBER(FIND(
SUBSTITUTE(BWT!$C$1:$C$100," ",""),
SUBSTITUTE(SUBSTITUTE(SUBSTITUTE(F137," ",""),"-",""),CHAR(160),"")
))
),
1
),
"")</f>
        <v>TAW8B87</v>
      </c>
    </row>
    <row r="138" spans="1:29" x14ac:dyDescent="0.3">
      <c r="A138" s="112" t="s">
        <v>1777</v>
      </c>
      <c r="B138" s="112" t="s">
        <v>226</v>
      </c>
      <c r="C138" s="112" t="s">
        <v>722</v>
      </c>
      <c r="D138" s="112" t="s">
        <v>1778</v>
      </c>
      <c r="E138" s="112" t="s">
        <v>1779</v>
      </c>
      <c r="F138" s="112" t="s">
        <v>472</v>
      </c>
      <c r="G138" s="112" t="s">
        <v>473</v>
      </c>
      <c r="H138" s="112" t="s">
        <v>475</v>
      </c>
      <c r="I138" s="112" t="s">
        <v>232</v>
      </c>
      <c r="J138" s="112" t="s">
        <v>734</v>
      </c>
      <c r="K138" s="112" t="s">
        <v>232</v>
      </c>
      <c r="L138" s="112" t="s">
        <v>476</v>
      </c>
      <c r="M138" s="112" t="s">
        <v>476</v>
      </c>
      <c r="N138" s="112" t="s">
        <v>476</v>
      </c>
      <c r="O138" s="112" t="s">
        <v>735</v>
      </c>
      <c r="P138" s="112" t="s">
        <v>735</v>
      </c>
      <c r="Q138" s="112" t="s">
        <v>498</v>
      </c>
      <c r="R138" s="112">
        <v>60000</v>
      </c>
      <c r="S138" s="112">
        <v>49519</v>
      </c>
      <c r="T138" s="113">
        <v>9540</v>
      </c>
      <c r="U138" s="113">
        <v>8395.2000000000007</v>
      </c>
      <c r="V138" s="113">
        <v>0</v>
      </c>
      <c r="W138" s="113">
        <v>1144.8</v>
      </c>
      <c r="X138" s="121">
        <v>0.12</v>
      </c>
      <c r="Y138" s="113">
        <v>9540</v>
      </c>
      <c r="Z138" s="87" t="str">
        <f t="shared" si="8"/>
        <v>CUBATAO/BAURU</v>
      </c>
      <c r="AA138" s="87">
        <f>IFERROR(_xlfn.XLOOKUP(Z138,Rotas!C:C,Rotas!D:D),"0")</f>
        <v>405</v>
      </c>
      <c r="AB138" s="88" t="str">
        <f t="shared" si="9"/>
        <v>BWT</v>
      </c>
      <c r="AC138" s="21" t="str" cm="1">
        <f t="array" ref="AC138">IFERROR(
INDEX(
_xlfn._xlws.FILTER(
BWT!$C$1:$C$100,
ISNUMBER(FIND(
SUBSTITUTE(BWT!$C$1:$C$100," ",""),
SUBSTITUTE(SUBSTITUTE(SUBSTITUTE(F138," ",""),"-",""),CHAR(160),"")
))
),
1
),
"")</f>
        <v>TAW8B87</v>
      </c>
    </row>
    <row r="139" spans="1:29" x14ac:dyDescent="0.3">
      <c r="A139" s="112" t="s">
        <v>1780</v>
      </c>
      <c r="B139" s="112" t="s">
        <v>226</v>
      </c>
      <c r="C139" s="112" t="s">
        <v>722</v>
      </c>
      <c r="D139" s="112" t="s">
        <v>1781</v>
      </c>
      <c r="E139" s="112" t="s">
        <v>1782</v>
      </c>
      <c r="F139" s="112" t="s">
        <v>345</v>
      </c>
      <c r="G139" s="112" t="s">
        <v>346</v>
      </c>
      <c r="H139" s="112" t="s">
        <v>280</v>
      </c>
      <c r="I139" s="112" t="s">
        <v>232</v>
      </c>
      <c r="J139" s="112" t="s">
        <v>475</v>
      </c>
      <c r="K139" s="112" t="s">
        <v>232</v>
      </c>
      <c r="L139" s="112" t="s">
        <v>476</v>
      </c>
      <c r="M139" s="112" t="s">
        <v>1762</v>
      </c>
      <c r="N139" s="112" t="s">
        <v>1762</v>
      </c>
      <c r="O139" s="112" t="s">
        <v>476</v>
      </c>
      <c r="P139" s="112" t="s">
        <v>476</v>
      </c>
      <c r="Q139" s="112" t="s">
        <v>498</v>
      </c>
      <c r="R139" s="112">
        <v>60038</v>
      </c>
      <c r="S139" s="112">
        <v>75900</v>
      </c>
      <c r="T139" s="113">
        <v>1617.42</v>
      </c>
      <c r="U139" s="113">
        <v>1423.33</v>
      </c>
      <c r="V139" s="113">
        <v>0</v>
      </c>
      <c r="W139" s="113">
        <v>194.09</v>
      </c>
      <c r="X139" s="121">
        <v>0.12</v>
      </c>
      <c r="Y139" s="113">
        <v>1617.42</v>
      </c>
      <c r="Z139" s="87" t="str">
        <f t="shared" si="8"/>
        <v>SANTOS/CUBATAO</v>
      </c>
      <c r="AA139" s="87">
        <f>IFERROR(_xlfn.XLOOKUP(Z139,Rotas!C:C,Rotas!D:D),"0")</f>
        <v>20</v>
      </c>
      <c r="AB139" s="88" t="str">
        <f t="shared" si="9"/>
        <v>BWT</v>
      </c>
      <c r="AC139" s="21" t="str" cm="1">
        <f t="array" ref="AC139">IFERROR(
INDEX(
_xlfn._xlws.FILTER(
BWT!$C$1:$C$100,
ISNUMBER(FIND(
SUBSTITUTE(BWT!$C$1:$C$100," ",""),
SUBSTITUTE(SUBSTITUTE(SUBSTITUTE(F139," ",""),"-",""),CHAR(160),"")
))
),
1
),
"")</f>
        <v>RHG5D74</v>
      </c>
    </row>
    <row r="140" spans="1:29" x14ac:dyDescent="0.3">
      <c r="A140" s="112" t="s">
        <v>1783</v>
      </c>
      <c r="B140" s="112" t="s">
        <v>226</v>
      </c>
      <c r="C140" s="112" t="s">
        <v>722</v>
      </c>
      <c r="D140" s="112" t="s">
        <v>1784</v>
      </c>
      <c r="E140" s="112" t="s">
        <v>1785</v>
      </c>
      <c r="F140" s="112" t="s">
        <v>481</v>
      </c>
      <c r="G140" s="112" t="s">
        <v>1786</v>
      </c>
      <c r="H140" s="112" t="s">
        <v>475</v>
      </c>
      <c r="I140" s="112" t="s">
        <v>232</v>
      </c>
      <c r="J140" s="112" t="s">
        <v>734</v>
      </c>
      <c r="K140" s="112" t="s">
        <v>232</v>
      </c>
      <c r="L140" s="112" t="s">
        <v>476</v>
      </c>
      <c r="M140" s="112" t="s">
        <v>476</v>
      </c>
      <c r="N140" s="112" t="s">
        <v>476</v>
      </c>
      <c r="O140" s="112" t="s">
        <v>735</v>
      </c>
      <c r="P140" s="112" t="s">
        <v>735</v>
      </c>
      <c r="Q140" s="112" t="s">
        <v>498</v>
      </c>
      <c r="R140" s="112">
        <v>60000</v>
      </c>
      <c r="S140" s="112">
        <v>49668</v>
      </c>
      <c r="T140" s="113">
        <v>9540</v>
      </c>
      <c r="U140" s="113">
        <v>8395.2000000000007</v>
      </c>
      <c r="V140" s="113">
        <v>0</v>
      </c>
      <c r="W140" s="113">
        <v>1144.8</v>
      </c>
      <c r="X140" s="121">
        <v>0.12</v>
      </c>
      <c r="Y140" s="113">
        <v>9540</v>
      </c>
      <c r="Z140" s="87" t="str">
        <f t="shared" si="8"/>
        <v>CUBATAO/BAURU</v>
      </c>
      <c r="AA140" s="87">
        <f>IFERROR(_xlfn.XLOOKUP(Z140,Rotas!C:C,Rotas!D:D),"0")</f>
        <v>405</v>
      </c>
      <c r="AB140" s="88" t="str">
        <f t="shared" si="9"/>
        <v>BWT</v>
      </c>
      <c r="AC140" s="21" t="str" cm="1">
        <f t="array" ref="AC140">IFERROR(
INDEX(
_xlfn._xlws.FILTER(
BWT!$C$1:$C$100,
ISNUMBER(FIND(
SUBSTITUTE(BWT!$C$1:$C$100," ",""),
SUBSTITUTE(SUBSTITUTE(SUBSTITUTE(F140," ",""),"-",""),CHAR(160),"")
))
),
1
),
"")</f>
        <v>SEY8B40</v>
      </c>
    </row>
    <row r="141" spans="1:29" x14ac:dyDescent="0.3">
      <c r="A141" s="112" t="s">
        <v>1787</v>
      </c>
      <c r="B141" s="112" t="s">
        <v>226</v>
      </c>
      <c r="C141" s="112" t="s">
        <v>722</v>
      </c>
      <c r="D141" s="112" t="s">
        <v>1788</v>
      </c>
      <c r="E141" s="112" t="s">
        <v>1789</v>
      </c>
      <c r="F141" s="112" t="s">
        <v>345</v>
      </c>
      <c r="G141" s="112" t="s">
        <v>346</v>
      </c>
      <c r="H141" s="112" t="s">
        <v>475</v>
      </c>
      <c r="I141" s="112" t="s">
        <v>232</v>
      </c>
      <c r="J141" s="112" t="s">
        <v>734</v>
      </c>
      <c r="K141" s="112" t="s">
        <v>232</v>
      </c>
      <c r="L141" s="112" t="s">
        <v>476</v>
      </c>
      <c r="M141" s="112" t="s">
        <v>476</v>
      </c>
      <c r="N141" s="112" t="s">
        <v>476</v>
      </c>
      <c r="O141" s="112" t="s">
        <v>735</v>
      </c>
      <c r="P141" s="112" t="s">
        <v>735</v>
      </c>
      <c r="Q141" s="112" t="s">
        <v>498</v>
      </c>
      <c r="R141" s="112">
        <v>60000</v>
      </c>
      <c r="S141" s="112">
        <v>50148</v>
      </c>
      <c r="T141" s="113">
        <v>9540</v>
      </c>
      <c r="U141" s="113">
        <v>8395.2000000000007</v>
      </c>
      <c r="V141" s="113">
        <v>0</v>
      </c>
      <c r="W141" s="113">
        <v>1144.8</v>
      </c>
      <c r="X141" s="121">
        <v>0.12</v>
      </c>
      <c r="Y141" s="113">
        <v>9540</v>
      </c>
      <c r="Z141" s="87" t="str">
        <f t="shared" si="8"/>
        <v>CUBATAO/BAURU</v>
      </c>
      <c r="AA141" s="87">
        <f>IFERROR(_xlfn.XLOOKUP(Z141,Rotas!C:C,Rotas!D:D),"0")</f>
        <v>405</v>
      </c>
      <c r="AB141" s="88" t="str">
        <f t="shared" si="9"/>
        <v>BWT</v>
      </c>
      <c r="AC141" s="21" t="str" cm="1">
        <f t="array" ref="AC141">IFERROR(
INDEX(
_xlfn._xlws.FILTER(
BWT!$C$1:$C$100,
ISNUMBER(FIND(
SUBSTITUTE(BWT!$C$1:$C$100," ",""),
SUBSTITUTE(SUBSTITUTE(SUBSTITUTE(F141," ",""),"-",""),CHAR(160),"")
))
),
1
),
"")</f>
        <v>RHG5D74</v>
      </c>
    </row>
    <row r="142" spans="1:29" x14ac:dyDescent="0.3">
      <c r="A142" s="112" t="s">
        <v>1790</v>
      </c>
      <c r="B142" s="112" t="s">
        <v>226</v>
      </c>
      <c r="C142" s="112" t="s">
        <v>722</v>
      </c>
      <c r="D142" s="112" t="s">
        <v>1791</v>
      </c>
      <c r="E142" s="112" t="s">
        <v>1792</v>
      </c>
      <c r="F142" s="112" t="s">
        <v>590</v>
      </c>
      <c r="G142" s="112" t="s">
        <v>363</v>
      </c>
      <c r="H142" s="112" t="s">
        <v>475</v>
      </c>
      <c r="I142" s="112" t="s">
        <v>232</v>
      </c>
      <c r="J142" s="112" t="s">
        <v>734</v>
      </c>
      <c r="K142" s="112" t="s">
        <v>232</v>
      </c>
      <c r="L142" s="112" t="s">
        <v>476</v>
      </c>
      <c r="M142" s="112" t="s">
        <v>476</v>
      </c>
      <c r="N142" s="112" t="s">
        <v>476</v>
      </c>
      <c r="O142" s="112" t="s">
        <v>735</v>
      </c>
      <c r="P142" s="112" t="s">
        <v>735</v>
      </c>
      <c r="Q142" s="112" t="s">
        <v>498</v>
      </c>
      <c r="R142" s="112">
        <v>60000</v>
      </c>
      <c r="S142" s="112">
        <v>50148</v>
      </c>
      <c r="T142" s="113">
        <v>9540</v>
      </c>
      <c r="U142" s="113">
        <v>8395.2000000000007</v>
      </c>
      <c r="V142" s="113">
        <v>0</v>
      </c>
      <c r="W142" s="113">
        <v>1144.8</v>
      </c>
      <c r="X142" s="121">
        <v>0.12</v>
      </c>
      <c r="Y142" s="113">
        <v>9540</v>
      </c>
      <c r="Z142" s="87" t="str">
        <f t="shared" si="8"/>
        <v>CUBATAO/BAURU</v>
      </c>
      <c r="AA142" s="87">
        <f>IFERROR(_xlfn.XLOOKUP(Z142,Rotas!C:C,Rotas!D:D),"0")</f>
        <v>405</v>
      </c>
      <c r="AB142" s="88" t="str">
        <f t="shared" si="9"/>
        <v>BWT</v>
      </c>
      <c r="AC142" s="21" t="str" cm="1">
        <f t="array" ref="AC142">IFERROR(
INDEX(
_xlfn._xlws.FILTER(
BWT!$C$1:$C$100,
ISNUMBER(FIND(
SUBSTITUTE(BWT!$C$1:$C$100," ",""),
SUBSTITUTE(SUBSTITUTE(SUBSTITUTE(F142," ",""),"-",""),CHAR(160),"")
))
),
1
),
"")</f>
        <v>RHH5C95</v>
      </c>
    </row>
    <row r="143" spans="1:29" x14ac:dyDescent="0.3">
      <c r="A143" s="112" t="s">
        <v>1793</v>
      </c>
      <c r="B143" s="112" t="s">
        <v>226</v>
      </c>
      <c r="C143" s="112" t="s">
        <v>722</v>
      </c>
      <c r="D143" s="112" t="s">
        <v>1794</v>
      </c>
      <c r="E143" s="112" t="s">
        <v>1795</v>
      </c>
      <c r="F143" s="112" t="s">
        <v>357</v>
      </c>
      <c r="G143" s="112" t="s">
        <v>358</v>
      </c>
      <c r="H143" s="112" t="s">
        <v>280</v>
      </c>
      <c r="I143" s="112" t="s">
        <v>232</v>
      </c>
      <c r="J143" s="112" t="s">
        <v>475</v>
      </c>
      <c r="K143" s="112" t="s">
        <v>232</v>
      </c>
      <c r="L143" s="112" t="s">
        <v>476</v>
      </c>
      <c r="M143" s="112" t="s">
        <v>1762</v>
      </c>
      <c r="N143" s="112" t="s">
        <v>1762</v>
      </c>
      <c r="O143" s="112" t="s">
        <v>476</v>
      </c>
      <c r="P143" s="112" t="s">
        <v>476</v>
      </c>
      <c r="Q143" s="112" t="s">
        <v>498</v>
      </c>
      <c r="R143" s="112">
        <v>60062</v>
      </c>
      <c r="S143" s="112">
        <v>75800</v>
      </c>
      <c r="T143" s="113">
        <v>1618.07</v>
      </c>
      <c r="U143" s="113">
        <v>1423.9</v>
      </c>
      <c r="V143" s="113">
        <v>0</v>
      </c>
      <c r="W143" s="113">
        <v>194.17</v>
      </c>
      <c r="X143" s="121">
        <v>0.12</v>
      </c>
      <c r="Y143" s="113">
        <v>1618.07</v>
      </c>
      <c r="Z143" s="87" t="str">
        <f t="shared" si="8"/>
        <v>SANTOS/CUBATAO</v>
      </c>
      <c r="AA143" s="87">
        <f>IFERROR(_xlfn.XLOOKUP(Z143,Rotas!C:C,Rotas!D:D),"0")</f>
        <v>20</v>
      </c>
      <c r="AB143" s="88" t="str">
        <f t="shared" si="9"/>
        <v>BWT</v>
      </c>
      <c r="AC143" s="21" t="str" cm="1">
        <f t="array" ref="AC143">IFERROR(
INDEX(
_xlfn._xlws.FILTER(
BWT!$C$1:$C$100,
ISNUMBER(FIND(
SUBSTITUTE(BWT!$C$1:$C$100," ",""),
SUBSTITUTE(SUBSTITUTE(SUBSTITUTE(F143," ",""),"-",""),CHAR(160),"")
))
),
1
),
"")</f>
        <v>RHH5C90</v>
      </c>
    </row>
    <row r="144" spans="1:29" hidden="1" x14ac:dyDescent="0.3">
      <c r="A144" s="112" t="s">
        <v>721</v>
      </c>
      <c r="B144" s="112" t="s">
        <v>226</v>
      </c>
      <c r="C144" s="112" t="s">
        <v>722</v>
      </c>
      <c r="D144" s="112" t="s">
        <v>723</v>
      </c>
      <c r="E144" s="112" t="s">
        <v>724</v>
      </c>
      <c r="F144" s="112" t="s">
        <v>302</v>
      </c>
      <c r="G144" s="112" t="s">
        <v>303</v>
      </c>
      <c r="H144" s="112" t="s">
        <v>280</v>
      </c>
      <c r="I144" s="112" t="s">
        <v>232</v>
      </c>
      <c r="J144" s="112" t="s">
        <v>281</v>
      </c>
      <c r="K144" s="112" t="s">
        <v>232</v>
      </c>
      <c r="L144" s="112" t="s">
        <v>254</v>
      </c>
      <c r="M144" s="112" t="s">
        <v>254</v>
      </c>
      <c r="N144" s="112" t="s">
        <v>282</v>
      </c>
      <c r="O144" s="112" t="s">
        <v>217</v>
      </c>
      <c r="P144" s="112" t="s">
        <v>217</v>
      </c>
      <c r="Q144" s="112" t="s">
        <v>498</v>
      </c>
      <c r="R144" s="112">
        <v>59524</v>
      </c>
      <c r="S144" s="112">
        <v>49280</v>
      </c>
      <c r="T144" s="113">
        <v>3150.03</v>
      </c>
      <c r="U144" s="113">
        <v>2772.03</v>
      </c>
      <c r="V144" s="113">
        <v>0</v>
      </c>
      <c r="W144" s="113">
        <v>378</v>
      </c>
      <c r="X144" s="121">
        <v>0.12</v>
      </c>
      <c r="Y144" s="113">
        <v>3150.03</v>
      </c>
      <c r="Z144" s="87" t="str">
        <f t="shared" si="8"/>
        <v>SANTOS/PAULINIA</v>
      </c>
      <c r="AA144" s="87">
        <f>IFERROR(_xlfn.XLOOKUP(Z144,Rotas!C:C,Rotas!D:D),"0")</f>
        <v>215</v>
      </c>
      <c r="AB144" s="88" t="str">
        <f t="shared" si="9"/>
        <v>BWT</v>
      </c>
      <c r="AC144" s="21" t="str" cm="1">
        <f t="array" ref="AC144">IFERROR(
INDEX(
_xlfn._xlws.FILTER(
BWT!$C$1:$C$100,
ISNUMBER(FIND(
SUBSTITUTE(BWT!$C$1:$C$100," ",""),
SUBSTITUTE(SUBSTITUTE(SUBSTITUTE(F144," ",""),"-",""),CHAR(160),"")
))
),
1
),
"")</f>
        <v>SEE0I13</v>
      </c>
    </row>
    <row r="145" spans="1:29" hidden="1" x14ac:dyDescent="0.3">
      <c r="A145" s="112" t="s">
        <v>725</v>
      </c>
      <c r="B145" s="112" t="s">
        <v>226</v>
      </c>
      <c r="C145" s="112" t="s">
        <v>722</v>
      </c>
      <c r="D145" s="112" t="s">
        <v>726</v>
      </c>
      <c r="E145" s="112" t="s">
        <v>727</v>
      </c>
      <c r="F145" s="112" t="s">
        <v>505</v>
      </c>
      <c r="G145" s="112" t="s">
        <v>293</v>
      </c>
      <c r="H145" s="112" t="s">
        <v>280</v>
      </c>
      <c r="I145" s="112" t="s">
        <v>232</v>
      </c>
      <c r="J145" s="112" t="s">
        <v>281</v>
      </c>
      <c r="K145" s="112" t="s">
        <v>232</v>
      </c>
      <c r="L145" s="112" t="s">
        <v>254</v>
      </c>
      <c r="M145" s="112" t="s">
        <v>254</v>
      </c>
      <c r="N145" s="112" t="s">
        <v>452</v>
      </c>
      <c r="O145" s="112" t="s">
        <v>217</v>
      </c>
      <c r="P145" s="112" t="s">
        <v>217</v>
      </c>
      <c r="Q145" s="112" t="s">
        <v>498</v>
      </c>
      <c r="R145" s="112">
        <v>57331</v>
      </c>
      <c r="S145" s="112">
        <v>47510</v>
      </c>
      <c r="T145" s="113">
        <v>3149.94</v>
      </c>
      <c r="U145" s="113">
        <v>2771.95</v>
      </c>
      <c r="V145" s="113">
        <v>0</v>
      </c>
      <c r="W145" s="113">
        <v>377.99</v>
      </c>
      <c r="X145" s="121">
        <v>0.12</v>
      </c>
      <c r="Y145" s="113">
        <v>3149.94</v>
      </c>
      <c r="Z145" s="89" t="str">
        <f t="shared" si="8"/>
        <v>SANTOS/PAULINIA</v>
      </c>
      <c r="AA145" s="89">
        <f>IFERROR(_xlfn.XLOOKUP(Z145,Rotas!C:C,Rotas!D:D),"0")</f>
        <v>215</v>
      </c>
      <c r="AB145" s="97" t="str">
        <f t="shared" si="9"/>
        <v>BWT</v>
      </c>
      <c r="AC145" s="21" t="str" cm="1">
        <f t="array" ref="AC145">IFERROR(
INDEX(
_xlfn._xlws.FILTER(
BWT!$C$1:$C$100,
ISNUMBER(FIND(
SUBSTITUTE(BWT!$C$1:$C$100," ",""),
SUBSTITUTE(SUBSTITUTE(SUBSTITUTE(F145," ",""),"-",""),CHAR(160),"")
))
),
1
),
"")</f>
        <v>TAW8C09</v>
      </c>
    </row>
    <row r="146" spans="1:29" hidden="1" x14ac:dyDescent="0.3">
      <c r="A146" s="112" t="s">
        <v>728</v>
      </c>
      <c r="B146" s="112" t="s">
        <v>226</v>
      </c>
      <c r="C146" s="112" t="s">
        <v>722</v>
      </c>
      <c r="D146" s="112" t="s">
        <v>729</v>
      </c>
      <c r="E146" s="112" t="s">
        <v>730</v>
      </c>
      <c r="F146" s="112" t="s">
        <v>188</v>
      </c>
      <c r="G146" s="112" t="s">
        <v>189</v>
      </c>
      <c r="H146" s="112" t="s">
        <v>280</v>
      </c>
      <c r="I146" s="112" t="s">
        <v>232</v>
      </c>
      <c r="J146" s="112" t="s">
        <v>281</v>
      </c>
      <c r="K146" s="112" t="s">
        <v>232</v>
      </c>
      <c r="L146" s="112" t="s">
        <v>254</v>
      </c>
      <c r="M146" s="112" t="s">
        <v>254</v>
      </c>
      <c r="N146" s="112" t="s">
        <v>452</v>
      </c>
      <c r="O146" s="112" t="s">
        <v>217</v>
      </c>
      <c r="P146" s="112" t="s">
        <v>217</v>
      </c>
      <c r="Q146" s="112" t="s">
        <v>498</v>
      </c>
      <c r="R146" s="112">
        <v>57886</v>
      </c>
      <c r="S146" s="112">
        <v>47970</v>
      </c>
      <c r="T146" s="113">
        <v>3150.18</v>
      </c>
      <c r="U146" s="113">
        <v>2772.16</v>
      </c>
      <c r="V146" s="113">
        <v>0</v>
      </c>
      <c r="W146" s="113">
        <v>378.02</v>
      </c>
      <c r="X146" s="121">
        <v>0.12</v>
      </c>
      <c r="Y146" s="113">
        <v>3150.18</v>
      </c>
      <c r="Z146" s="89" t="str">
        <f t="shared" si="8"/>
        <v>SANTOS/PAULINIA</v>
      </c>
      <c r="AA146" s="89">
        <f>IFERROR(_xlfn.XLOOKUP(Z146,Rotas!C:C,Rotas!D:D),"0")</f>
        <v>215</v>
      </c>
      <c r="AB146" s="97" t="str">
        <f t="shared" si="9"/>
        <v>BWT</v>
      </c>
      <c r="AC146" s="21" t="str" cm="1">
        <f t="array" ref="AC146">IFERROR(
INDEX(
_xlfn._xlws.FILTER(
BWT!$C$1:$C$100,
ISNUMBER(FIND(
SUBSTITUTE(BWT!$C$1:$C$100," ",""),
SUBSTITUTE(SUBSTITUTE(SUBSTITUTE(F146," ",""),"-",""),CHAR(160),"")
))
),
1
),
"")</f>
        <v>BDQ4E29</v>
      </c>
    </row>
    <row r="147" spans="1:29" x14ac:dyDescent="0.3">
      <c r="A147" s="112" t="s">
        <v>731</v>
      </c>
      <c r="B147" s="112" t="s">
        <v>226</v>
      </c>
      <c r="C147" s="112" t="s">
        <v>722</v>
      </c>
      <c r="D147" s="112" t="s">
        <v>732</v>
      </c>
      <c r="E147" s="112" t="s">
        <v>733</v>
      </c>
      <c r="F147" s="112" t="s">
        <v>357</v>
      </c>
      <c r="G147" s="112" t="s">
        <v>363</v>
      </c>
      <c r="H147" s="112" t="s">
        <v>475</v>
      </c>
      <c r="I147" s="112" t="s">
        <v>232</v>
      </c>
      <c r="J147" s="112" t="s">
        <v>734</v>
      </c>
      <c r="K147" s="112" t="s">
        <v>232</v>
      </c>
      <c r="L147" s="112" t="s">
        <v>476</v>
      </c>
      <c r="M147" s="112" t="s">
        <v>476</v>
      </c>
      <c r="N147" s="112" t="s">
        <v>476</v>
      </c>
      <c r="O147" s="112" t="s">
        <v>735</v>
      </c>
      <c r="P147" s="112" t="s">
        <v>735</v>
      </c>
      <c r="Q147" s="112" t="s">
        <v>498</v>
      </c>
      <c r="R147" s="112">
        <v>60000</v>
      </c>
      <c r="S147" s="112">
        <v>50148</v>
      </c>
      <c r="T147" s="113">
        <v>9540</v>
      </c>
      <c r="U147" s="113">
        <v>8395.2000000000007</v>
      </c>
      <c r="V147" s="113">
        <v>0</v>
      </c>
      <c r="W147" s="113">
        <v>1144.8</v>
      </c>
      <c r="X147" s="121">
        <v>0.12</v>
      </c>
      <c r="Y147" s="113">
        <v>9540</v>
      </c>
      <c r="Z147" s="87" t="str">
        <f t="shared" si="8"/>
        <v>CUBATAO/BAURU</v>
      </c>
      <c r="AA147" s="87">
        <f>IFERROR(_xlfn.XLOOKUP(Z147,Rotas!C:C,Rotas!D:D),"0")</f>
        <v>405</v>
      </c>
      <c r="AB147" s="88" t="str">
        <f t="shared" si="9"/>
        <v>BWT</v>
      </c>
      <c r="AC147" s="21" t="str" cm="1">
        <f t="array" ref="AC147">IFERROR(
INDEX(
_xlfn._xlws.FILTER(
BWT!$C$1:$C$100,
ISNUMBER(FIND(
SUBSTITUTE(BWT!$C$1:$C$100," ",""),
SUBSTITUTE(SUBSTITUTE(SUBSTITUTE(F147," ",""),"-",""),CHAR(160),"")
))
),
1
),
"")</f>
        <v>RHH5C90</v>
      </c>
    </row>
    <row r="148" spans="1:29" hidden="1" x14ac:dyDescent="0.3">
      <c r="A148" s="112" t="s">
        <v>736</v>
      </c>
      <c r="B148" s="112" t="s">
        <v>165</v>
      </c>
      <c r="C148" s="112" t="s">
        <v>722</v>
      </c>
      <c r="D148" s="112" t="s">
        <v>737</v>
      </c>
      <c r="E148" s="112" t="s">
        <v>738</v>
      </c>
      <c r="F148" s="112" t="s">
        <v>181</v>
      </c>
      <c r="G148" s="112" t="s">
        <v>182</v>
      </c>
      <c r="H148" s="112" t="s">
        <v>171</v>
      </c>
      <c r="I148" s="112" t="s">
        <v>172</v>
      </c>
      <c r="J148" s="112" t="s">
        <v>183</v>
      </c>
      <c r="K148" s="112" t="s">
        <v>172</v>
      </c>
      <c r="L148" s="112" t="s">
        <v>184</v>
      </c>
      <c r="M148" s="112" t="s">
        <v>176</v>
      </c>
      <c r="N148" s="112" t="s">
        <v>176</v>
      </c>
      <c r="O148" s="112" t="s">
        <v>184</v>
      </c>
      <c r="P148" s="112" t="s">
        <v>184</v>
      </c>
      <c r="Q148" s="112" t="s">
        <v>177</v>
      </c>
      <c r="R148" s="112">
        <v>37920</v>
      </c>
      <c r="S148" s="112">
        <v>58200</v>
      </c>
      <c r="T148" s="113">
        <v>3894.38</v>
      </c>
      <c r="U148" s="113">
        <v>3894.38</v>
      </c>
      <c r="V148" s="113">
        <v>0</v>
      </c>
      <c r="W148" s="113">
        <v>0</v>
      </c>
      <c r="X148" s="112"/>
      <c r="Y148" s="113"/>
      <c r="Z148" s="87" t="str">
        <f t="shared" si="8"/>
        <v>PARANAGUA/LAPA</v>
      </c>
      <c r="AA148" s="87">
        <f>IFERROR(_xlfn.XLOOKUP(Z148,Rotas!C:C,Rotas!D:D),"0")</f>
        <v>153</v>
      </c>
      <c r="AB148" s="88" t="str">
        <f t="shared" si="9"/>
        <v>BWT</v>
      </c>
      <c r="AC148" s="21" t="str" cm="1">
        <f t="array" ref="AC148">IFERROR(
INDEX(
_xlfn._xlws.FILTER(
BWT!$C$1:$C$100,
ISNUMBER(FIND(
SUBSTITUTE(BWT!$C$1:$C$100," ",""),
SUBSTITUTE(SUBSTITUTE(SUBSTITUTE(F148," ",""),"-",""),CHAR(160),"")
))
),
1
),
"")</f>
        <v>BDF9C15</v>
      </c>
    </row>
    <row r="149" spans="1:29" hidden="1" x14ac:dyDescent="0.3">
      <c r="A149" s="112" t="s">
        <v>739</v>
      </c>
      <c r="B149" s="112" t="s">
        <v>165</v>
      </c>
      <c r="C149" s="112" t="s">
        <v>722</v>
      </c>
      <c r="D149" s="112" t="s">
        <v>740</v>
      </c>
      <c r="E149" s="112" t="s">
        <v>741</v>
      </c>
      <c r="F149" s="112" t="s">
        <v>742</v>
      </c>
      <c r="G149" s="112" t="s">
        <v>743</v>
      </c>
      <c r="H149" s="112" t="s">
        <v>324</v>
      </c>
      <c r="I149" s="112" t="s">
        <v>172</v>
      </c>
      <c r="J149" s="112" t="s">
        <v>242</v>
      </c>
      <c r="K149" s="112" t="s">
        <v>243</v>
      </c>
      <c r="L149" s="112" t="s">
        <v>244</v>
      </c>
      <c r="M149" s="112" t="s">
        <v>325</v>
      </c>
      <c r="N149" s="112" t="s">
        <v>325</v>
      </c>
      <c r="O149" s="112" t="s">
        <v>244</v>
      </c>
      <c r="P149" s="112" t="s">
        <v>244</v>
      </c>
      <c r="Q149" s="112" t="s">
        <v>219</v>
      </c>
      <c r="R149" s="112">
        <v>59508</v>
      </c>
      <c r="S149" s="112">
        <v>46960</v>
      </c>
      <c r="T149" s="113">
        <v>10123.129999999999</v>
      </c>
      <c r="U149" s="113">
        <v>8908.35</v>
      </c>
      <c r="V149" s="113">
        <v>0</v>
      </c>
      <c r="W149" s="113">
        <v>1214.78</v>
      </c>
      <c r="X149" s="121">
        <v>0.12</v>
      </c>
      <c r="Y149" s="113">
        <v>10123.129999999999</v>
      </c>
      <c r="Z149" s="87" t="str">
        <f t="shared" si="8"/>
        <v>SAO CARLOS DO IVAI/ITAJAI</v>
      </c>
      <c r="AA149" s="87">
        <f>IFERROR(_xlfn.XLOOKUP(Z149,Rotas!C:C,Rotas!D:D),"0")</f>
        <v>711</v>
      </c>
      <c r="AB149" s="88" t="str">
        <f t="shared" si="9"/>
        <v>SUBCONTRATADO</v>
      </c>
      <c r="AC149" s="21" cm="1">
        <f t="array" ref="AC149">IFERROR(
INDEX(
_xlfn._xlws.FILTER(
BWT!$C$1:$C$100,
ISNUMBER(FIND(
SUBSTITUTE(BWT!$C$1:$C$100," ",""),
SUBSTITUTE(SUBSTITUTE(SUBSTITUTE(F149," ",""),"-",""),CHAR(160),"")
))
),
1
),
"")</f>
        <v>0</v>
      </c>
    </row>
    <row r="150" spans="1:29" hidden="1" x14ac:dyDescent="0.3">
      <c r="A150" s="112" t="s">
        <v>744</v>
      </c>
      <c r="B150" s="112" t="s">
        <v>165</v>
      </c>
      <c r="C150" s="112" t="s">
        <v>722</v>
      </c>
      <c r="D150" s="112" t="s">
        <v>745</v>
      </c>
      <c r="E150" s="112" t="s">
        <v>746</v>
      </c>
      <c r="F150" s="112" t="s">
        <v>448</v>
      </c>
      <c r="G150" s="112" t="s">
        <v>449</v>
      </c>
      <c r="H150" s="112" t="s">
        <v>171</v>
      </c>
      <c r="I150" s="112" t="s">
        <v>172</v>
      </c>
      <c r="J150" s="112" t="s">
        <v>272</v>
      </c>
      <c r="K150" s="112" t="s">
        <v>174</v>
      </c>
      <c r="L150" s="112" t="s">
        <v>273</v>
      </c>
      <c r="M150" s="112" t="s">
        <v>649</v>
      </c>
      <c r="N150" s="112" t="s">
        <v>176</v>
      </c>
      <c r="O150" s="112" t="s">
        <v>273</v>
      </c>
      <c r="P150" s="112" t="s">
        <v>273</v>
      </c>
      <c r="Q150" s="112" t="s">
        <v>177</v>
      </c>
      <c r="R150" s="112">
        <v>48300</v>
      </c>
      <c r="S150" s="112">
        <v>48300</v>
      </c>
      <c r="T150" s="113">
        <v>10384.5</v>
      </c>
      <c r="U150" s="113">
        <v>8603.76</v>
      </c>
      <c r="V150" s="113">
        <v>607.5</v>
      </c>
      <c r="W150" s="113">
        <v>1173.24</v>
      </c>
      <c r="X150" s="121">
        <v>0.12</v>
      </c>
      <c r="Y150" s="113">
        <v>9777</v>
      </c>
      <c r="Z150" s="89" t="str">
        <f t="shared" si="8"/>
        <v>PARANAGUA/MUITOS CAPOES</v>
      </c>
      <c r="AA150" s="89">
        <f>IFERROR(_xlfn.XLOOKUP(Z150,Rotas!C:C,Rotas!D:D),"0")</f>
        <v>581</v>
      </c>
      <c r="AB150" s="97" t="str">
        <f t="shared" si="9"/>
        <v>BWT</v>
      </c>
      <c r="AC150" s="21" t="str" cm="1">
        <f t="array" ref="AC150">IFERROR(
INDEX(
_xlfn._xlws.FILTER(
BWT!$C$1:$C$100,
ISNUMBER(FIND(
SUBSTITUTE(BWT!$C$1:$C$100," ",""),
SUBSTITUTE(SUBSTITUTE(SUBSTITUTE(F150," ",""),"-",""),CHAR(160),"")
))
),
1
),
"")</f>
        <v>TAW8B84</v>
      </c>
    </row>
    <row r="151" spans="1:29" hidden="1" x14ac:dyDescent="0.3">
      <c r="A151" s="112" t="s">
        <v>747</v>
      </c>
      <c r="B151" s="112" t="s">
        <v>165</v>
      </c>
      <c r="C151" s="112" t="s">
        <v>722</v>
      </c>
      <c r="D151" s="112" t="s">
        <v>748</v>
      </c>
      <c r="E151" s="112" t="s">
        <v>749</v>
      </c>
      <c r="F151" s="112" t="s">
        <v>181</v>
      </c>
      <c r="G151" s="112" t="s">
        <v>182</v>
      </c>
      <c r="H151" s="112" t="s">
        <v>171</v>
      </c>
      <c r="I151" s="112" t="s">
        <v>172</v>
      </c>
      <c r="J151" s="112" t="s">
        <v>183</v>
      </c>
      <c r="K151" s="112" t="s">
        <v>172</v>
      </c>
      <c r="L151" s="112" t="s">
        <v>184</v>
      </c>
      <c r="M151" s="112" t="s">
        <v>176</v>
      </c>
      <c r="N151" s="112" t="s">
        <v>176</v>
      </c>
      <c r="O151" s="112" t="s">
        <v>184</v>
      </c>
      <c r="P151" s="112" t="s">
        <v>184</v>
      </c>
      <c r="Q151" s="112" t="s">
        <v>177</v>
      </c>
      <c r="R151" s="112">
        <v>38177</v>
      </c>
      <c r="S151" s="112">
        <v>58337</v>
      </c>
      <c r="T151" s="113">
        <v>3920.78</v>
      </c>
      <c r="U151" s="113">
        <v>3920.78</v>
      </c>
      <c r="V151" s="113">
        <v>0</v>
      </c>
      <c r="W151" s="113">
        <v>0</v>
      </c>
      <c r="X151" s="112"/>
      <c r="Y151" s="113"/>
      <c r="Z151" s="87" t="str">
        <f t="shared" si="8"/>
        <v>PARANAGUA/LAPA</v>
      </c>
      <c r="AA151" s="87">
        <f>IFERROR(_xlfn.XLOOKUP(Z151,Rotas!C:C,Rotas!D:D),"0")</f>
        <v>153</v>
      </c>
      <c r="AB151" s="88" t="str">
        <f t="shared" si="9"/>
        <v>BWT</v>
      </c>
      <c r="AC151" s="21" t="str" cm="1">
        <f t="array" ref="AC151">IFERROR(
INDEX(
_xlfn._xlws.FILTER(
BWT!$C$1:$C$100,
ISNUMBER(FIND(
SUBSTITUTE(BWT!$C$1:$C$100," ",""),
SUBSTITUTE(SUBSTITUTE(SUBSTITUTE(F151," ",""),"-",""),CHAR(160),"")
))
),
1
),
"")</f>
        <v>BDF9C15</v>
      </c>
    </row>
    <row r="152" spans="1:29" hidden="1" x14ac:dyDescent="0.3">
      <c r="A152" s="112" t="s">
        <v>750</v>
      </c>
      <c r="B152" s="112" t="s">
        <v>165</v>
      </c>
      <c r="C152" s="112" t="s">
        <v>722</v>
      </c>
      <c r="D152" s="112" t="s">
        <v>751</v>
      </c>
      <c r="E152" s="112" t="s">
        <v>752</v>
      </c>
      <c r="F152" s="112" t="s">
        <v>208</v>
      </c>
      <c r="G152" s="112" t="s">
        <v>209</v>
      </c>
      <c r="H152" s="112" t="s">
        <v>171</v>
      </c>
      <c r="I152" s="112" t="s">
        <v>172</v>
      </c>
      <c r="J152" s="112" t="s">
        <v>183</v>
      </c>
      <c r="K152" s="112" t="s">
        <v>172</v>
      </c>
      <c r="L152" s="112" t="s">
        <v>184</v>
      </c>
      <c r="M152" s="112" t="s">
        <v>176</v>
      </c>
      <c r="N152" s="112" t="s">
        <v>176</v>
      </c>
      <c r="O152" s="112" t="s">
        <v>184</v>
      </c>
      <c r="P152" s="112" t="s">
        <v>184</v>
      </c>
      <c r="Q152" s="112" t="s">
        <v>177</v>
      </c>
      <c r="R152" s="112">
        <v>39500</v>
      </c>
      <c r="S152" s="112">
        <v>58400</v>
      </c>
      <c r="T152" s="113">
        <v>4056.65</v>
      </c>
      <c r="U152" s="113">
        <v>4056.65</v>
      </c>
      <c r="V152" s="113">
        <v>0</v>
      </c>
      <c r="W152" s="113">
        <v>0</v>
      </c>
      <c r="X152" s="112"/>
      <c r="Y152" s="113"/>
      <c r="Z152" s="87" t="str">
        <f t="shared" si="8"/>
        <v>PARANAGUA/LAPA</v>
      </c>
      <c r="AA152" s="87">
        <f>IFERROR(_xlfn.XLOOKUP(Z152,Rotas!C:C,Rotas!D:D),"0")</f>
        <v>153</v>
      </c>
      <c r="AB152" s="88" t="str">
        <f t="shared" si="9"/>
        <v>BWT</v>
      </c>
      <c r="AC152" s="21" t="str" cm="1">
        <f t="array" ref="AC152">IFERROR(
INDEX(
_xlfn._xlws.FILTER(
BWT!$C$1:$C$100,
ISNUMBER(FIND(
SUBSTITUTE(BWT!$C$1:$C$100," ",""),
SUBSTITUTE(SUBSTITUTE(SUBSTITUTE(F152," ",""),"-",""),CHAR(160),"")
))
),
1
),
"")</f>
        <v>AWZ2403</v>
      </c>
    </row>
    <row r="153" spans="1:29" hidden="1" x14ac:dyDescent="0.3">
      <c r="A153" s="112" t="s">
        <v>753</v>
      </c>
      <c r="B153" s="112" t="s">
        <v>165</v>
      </c>
      <c r="C153" s="112" t="s">
        <v>722</v>
      </c>
      <c r="D153" s="112" t="s">
        <v>754</v>
      </c>
      <c r="E153" s="112" t="s">
        <v>755</v>
      </c>
      <c r="F153" s="112" t="s">
        <v>85</v>
      </c>
      <c r="G153" s="112" t="s">
        <v>644</v>
      </c>
      <c r="H153" s="112" t="s">
        <v>171</v>
      </c>
      <c r="I153" s="112" t="s">
        <v>172</v>
      </c>
      <c r="J153" s="112" t="s">
        <v>183</v>
      </c>
      <c r="K153" s="112" t="s">
        <v>172</v>
      </c>
      <c r="L153" s="112" t="s">
        <v>184</v>
      </c>
      <c r="M153" s="112" t="s">
        <v>176</v>
      </c>
      <c r="N153" s="112" t="s">
        <v>176</v>
      </c>
      <c r="O153" s="112" t="s">
        <v>184</v>
      </c>
      <c r="P153" s="112" t="s">
        <v>184</v>
      </c>
      <c r="Q153" s="112" t="s">
        <v>177</v>
      </c>
      <c r="R153" s="112">
        <v>33036</v>
      </c>
      <c r="S153" s="112">
        <v>51576</v>
      </c>
      <c r="T153" s="113">
        <v>3392.8</v>
      </c>
      <c r="U153" s="113">
        <v>3392.8</v>
      </c>
      <c r="V153" s="113">
        <v>0</v>
      </c>
      <c r="W153" s="113">
        <v>0</v>
      </c>
      <c r="X153" s="112"/>
      <c r="Y153" s="113"/>
      <c r="Z153" s="89" t="str">
        <f t="shared" si="8"/>
        <v>PARANAGUA/LAPA</v>
      </c>
      <c r="AA153" s="89">
        <f>IFERROR(_xlfn.XLOOKUP(Z153,Rotas!C:C,Rotas!D:D),"0")</f>
        <v>153</v>
      </c>
      <c r="AB153" s="97" t="str">
        <f t="shared" si="9"/>
        <v>BWT</v>
      </c>
      <c r="AC153" s="21" t="str" cm="1">
        <f t="array" ref="AC153">IFERROR(
INDEX(
_xlfn._xlws.FILTER(
BWT!$C$1:$C$100,
ISNUMBER(FIND(
SUBSTITUTE(BWT!$C$1:$C$100," ",""),
SUBSTITUTE(SUBSTITUTE(SUBSTITUTE(F153," ",""),"-",""),CHAR(160),"")
))
),
1
),
"")</f>
        <v>BBL9D24</v>
      </c>
    </row>
    <row r="154" spans="1:29" hidden="1" x14ac:dyDescent="0.3">
      <c r="A154" s="112" t="s">
        <v>756</v>
      </c>
      <c r="B154" s="112" t="s">
        <v>165</v>
      </c>
      <c r="C154" s="112" t="s">
        <v>722</v>
      </c>
      <c r="D154" s="112" t="s">
        <v>757</v>
      </c>
      <c r="E154" s="112" t="s">
        <v>758</v>
      </c>
      <c r="F154" s="112" t="s">
        <v>312</v>
      </c>
      <c r="G154" s="112" t="s">
        <v>313</v>
      </c>
      <c r="H154" s="112" t="s">
        <v>183</v>
      </c>
      <c r="I154" s="112" t="s">
        <v>172</v>
      </c>
      <c r="J154" s="112" t="s">
        <v>281</v>
      </c>
      <c r="K154" s="112" t="s">
        <v>232</v>
      </c>
      <c r="L154" s="112" t="s">
        <v>184</v>
      </c>
      <c r="M154" s="112" t="s">
        <v>184</v>
      </c>
      <c r="N154" s="112" t="s">
        <v>184</v>
      </c>
      <c r="O154" s="112" t="s">
        <v>759</v>
      </c>
      <c r="P154" s="112" t="s">
        <v>759</v>
      </c>
      <c r="Q154" s="112" t="s">
        <v>246</v>
      </c>
      <c r="R154" s="112">
        <v>41733</v>
      </c>
      <c r="S154" s="112">
        <v>56660</v>
      </c>
      <c r="T154" s="113">
        <v>9807.26</v>
      </c>
      <c r="U154" s="113">
        <v>8248.16</v>
      </c>
      <c r="V154" s="113">
        <v>434.35</v>
      </c>
      <c r="W154" s="113">
        <v>1124.75</v>
      </c>
      <c r="X154" s="121">
        <v>0.12</v>
      </c>
      <c r="Y154" s="113">
        <v>9372.91</v>
      </c>
      <c r="Z154" s="87" t="str">
        <f t="shared" si="8"/>
        <v>LAPA/PAULINIA</v>
      </c>
      <c r="AA154" s="87">
        <f>IFERROR(_xlfn.XLOOKUP(Z154,Rotas!C:C,Rotas!D:D),"0")</f>
        <v>573</v>
      </c>
      <c r="AB154" s="88" t="str">
        <f t="shared" si="9"/>
        <v>BWT</v>
      </c>
      <c r="AC154" s="21" t="str" cm="1">
        <f t="array" ref="AC154">IFERROR(
INDEX(
_xlfn._xlws.FILTER(
BWT!$C$1:$C$100,
ISNUMBER(FIND(
SUBSTITUTE(BWT!$C$1:$C$100," ",""),
SUBSTITUTE(SUBSTITUTE(SUBSTITUTE(F154," ",""),"-",""),CHAR(160),"")
))
),
1
),
"")</f>
        <v>BBM5I45</v>
      </c>
    </row>
    <row r="155" spans="1:29" hidden="1" x14ac:dyDescent="0.3">
      <c r="A155" s="112" t="s">
        <v>760</v>
      </c>
      <c r="B155" s="112" t="s">
        <v>165</v>
      </c>
      <c r="C155" s="112" t="s">
        <v>722</v>
      </c>
      <c r="D155" s="112" t="s">
        <v>761</v>
      </c>
      <c r="E155" s="112" t="s">
        <v>762</v>
      </c>
      <c r="F155" s="112" t="s">
        <v>676</v>
      </c>
      <c r="G155" s="112" t="s">
        <v>677</v>
      </c>
      <c r="H155" s="112" t="s">
        <v>183</v>
      </c>
      <c r="I155" s="112" t="s">
        <v>172</v>
      </c>
      <c r="J155" s="112" t="s">
        <v>171</v>
      </c>
      <c r="K155" s="112" t="s">
        <v>172</v>
      </c>
      <c r="L155" s="112" t="s">
        <v>184</v>
      </c>
      <c r="M155" s="112" t="s">
        <v>184</v>
      </c>
      <c r="N155" s="112" t="s">
        <v>184</v>
      </c>
      <c r="O155" s="112" t="s">
        <v>655</v>
      </c>
      <c r="P155" s="112" t="s">
        <v>655</v>
      </c>
      <c r="Q155" s="112" t="s">
        <v>656</v>
      </c>
      <c r="R155" s="112">
        <v>26840</v>
      </c>
      <c r="S155" s="112">
        <v>26840</v>
      </c>
      <c r="T155" s="113">
        <v>2650</v>
      </c>
      <c r="U155" s="113">
        <v>2650</v>
      </c>
      <c r="V155" s="113">
        <v>0</v>
      </c>
      <c r="W155" s="113">
        <v>0</v>
      </c>
      <c r="X155" s="112"/>
      <c r="Y155" s="113"/>
      <c r="Z155" s="87" t="str">
        <f t="shared" si="8"/>
        <v>LAPA/PARANAGUA</v>
      </c>
      <c r="AA155" s="87">
        <f>IFERROR(_xlfn.XLOOKUP(Z155,Rotas!C:C,Rotas!D:D),"0")</f>
        <v>465</v>
      </c>
      <c r="AB155" s="88" t="str">
        <f t="shared" si="9"/>
        <v>SUBCONTRATADO</v>
      </c>
      <c r="AC155" s="21" cm="1">
        <f t="array" ref="AC155">IFERROR(
INDEX(
_xlfn._xlws.FILTER(
BWT!$C$1:$C$100,
ISNUMBER(FIND(
SUBSTITUTE(BWT!$C$1:$C$100," ",""),
SUBSTITUTE(SUBSTITUTE(SUBSTITUTE(F155," ",""),"-",""),CHAR(160),"")
))
),
1
),
"")</f>
        <v>0</v>
      </c>
    </row>
    <row r="156" spans="1:29" hidden="1" x14ac:dyDescent="0.3">
      <c r="A156" s="112" t="s">
        <v>763</v>
      </c>
      <c r="B156" s="112" t="s">
        <v>165</v>
      </c>
      <c r="C156" s="112" t="s">
        <v>722</v>
      </c>
      <c r="D156" s="112" t="s">
        <v>764</v>
      </c>
      <c r="E156" s="112" t="s">
        <v>765</v>
      </c>
      <c r="F156" s="112" t="s">
        <v>398</v>
      </c>
      <c r="G156" s="112" t="s">
        <v>399</v>
      </c>
      <c r="H156" s="112" t="s">
        <v>183</v>
      </c>
      <c r="I156" s="112" t="s">
        <v>172</v>
      </c>
      <c r="J156" s="112" t="s">
        <v>281</v>
      </c>
      <c r="K156" s="112" t="s">
        <v>232</v>
      </c>
      <c r="L156" s="112" t="s">
        <v>184</v>
      </c>
      <c r="M156" s="112" t="s">
        <v>184</v>
      </c>
      <c r="N156" s="112" t="s">
        <v>184</v>
      </c>
      <c r="O156" s="112" t="s">
        <v>759</v>
      </c>
      <c r="P156" s="112" t="s">
        <v>759</v>
      </c>
      <c r="Q156" s="112" t="s">
        <v>246</v>
      </c>
      <c r="R156" s="112">
        <v>59640</v>
      </c>
      <c r="S156" s="112">
        <v>78020</v>
      </c>
      <c r="T156" s="113">
        <v>14015.4</v>
      </c>
      <c r="U156" s="113">
        <v>11842.12</v>
      </c>
      <c r="V156" s="113">
        <v>558.45000000000005</v>
      </c>
      <c r="W156" s="113">
        <v>1614.83</v>
      </c>
      <c r="X156" s="121">
        <v>0.12</v>
      </c>
      <c r="Y156" s="113">
        <v>13456.95</v>
      </c>
      <c r="Z156" s="87" t="str">
        <f t="shared" si="8"/>
        <v>LAPA/PAULINIA</v>
      </c>
      <c r="AA156" s="87">
        <f>IFERROR(_xlfn.XLOOKUP(Z156,Rotas!C:C,Rotas!D:D),"0")</f>
        <v>573</v>
      </c>
      <c r="AB156" s="88" t="str">
        <f t="shared" si="9"/>
        <v>BWT</v>
      </c>
      <c r="AC156" s="21" t="str" cm="1">
        <f t="array" ref="AC156">IFERROR(
INDEX(
_xlfn._xlws.FILTER(
BWT!$C$1:$C$100,
ISNUMBER(FIND(
SUBSTITUTE(BWT!$C$1:$C$100," ",""),
SUBSTITUTE(SUBSTITUTE(SUBSTITUTE(F156," ",""),"-",""),CHAR(160),"")
))
),
1
),
"")</f>
        <v>SED7D20</v>
      </c>
    </row>
    <row r="157" spans="1:29" hidden="1" x14ac:dyDescent="0.3">
      <c r="A157" s="112" t="s">
        <v>766</v>
      </c>
      <c r="B157" s="112" t="s">
        <v>165</v>
      </c>
      <c r="C157" s="112" t="s">
        <v>722</v>
      </c>
      <c r="D157" s="112" t="s">
        <v>767</v>
      </c>
      <c r="E157" s="112" t="s">
        <v>768</v>
      </c>
      <c r="F157" s="112" t="s">
        <v>769</v>
      </c>
      <c r="G157" s="112" t="s">
        <v>204</v>
      </c>
      <c r="H157" s="112" t="s">
        <v>171</v>
      </c>
      <c r="I157" s="112" t="s">
        <v>172</v>
      </c>
      <c r="J157" s="112" t="s">
        <v>183</v>
      </c>
      <c r="K157" s="112" t="s">
        <v>172</v>
      </c>
      <c r="L157" s="112" t="s">
        <v>184</v>
      </c>
      <c r="M157" s="112" t="s">
        <v>176</v>
      </c>
      <c r="N157" s="112" t="s">
        <v>176</v>
      </c>
      <c r="O157" s="112" t="s">
        <v>184</v>
      </c>
      <c r="P157" s="112" t="s">
        <v>184</v>
      </c>
      <c r="Q157" s="112" t="s">
        <v>177</v>
      </c>
      <c r="R157" s="112">
        <v>38780</v>
      </c>
      <c r="S157" s="112">
        <v>58340</v>
      </c>
      <c r="T157" s="113">
        <v>3982.71</v>
      </c>
      <c r="U157" s="113">
        <v>3982.71</v>
      </c>
      <c r="V157" s="113">
        <v>0</v>
      </c>
      <c r="W157" s="113">
        <v>0</v>
      </c>
      <c r="X157" s="112"/>
      <c r="Y157" s="113"/>
      <c r="Z157" s="87" t="str">
        <f t="shared" si="8"/>
        <v>PARANAGUA/LAPA</v>
      </c>
      <c r="AA157" s="87">
        <f>IFERROR(_xlfn.XLOOKUP(Z157,Rotas!C:C,Rotas!D:D),"0")</f>
        <v>153</v>
      </c>
      <c r="AB157" s="88" t="str">
        <f t="shared" si="9"/>
        <v>SUBCONTRATADO</v>
      </c>
      <c r="AC157" s="21" cm="1">
        <f t="array" ref="AC157">IFERROR(
INDEX(
_xlfn._xlws.FILTER(
BWT!$C$1:$C$100,
ISNUMBER(FIND(
SUBSTITUTE(BWT!$C$1:$C$100," ",""),
SUBSTITUTE(SUBSTITUTE(SUBSTITUTE(F157," ",""),"-",""),CHAR(160),"")
))
),
1
),
"")</f>
        <v>0</v>
      </c>
    </row>
    <row r="158" spans="1:29" hidden="1" x14ac:dyDescent="0.3">
      <c r="A158" s="112" t="s">
        <v>770</v>
      </c>
      <c r="B158" s="112" t="s">
        <v>165</v>
      </c>
      <c r="C158" s="112" t="s">
        <v>722</v>
      </c>
      <c r="D158" s="112" t="s">
        <v>771</v>
      </c>
      <c r="E158" s="112" t="s">
        <v>772</v>
      </c>
      <c r="F158" s="112" t="s">
        <v>424</v>
      </c>
      <c r="G158" s="112" t="s">
        <v>667</v>
      </c>
      <c r="H158" s="112" t="s">
        <v>183</v>
      </c>
      <c r="I158" s="112" t="s">
        <v>172</v>
      </c>
      <c r="J158" s="112" t="s">
        <v>171</v>
      </c>
      <c r="K158" s="112" t="s">
        <v>172</v>
      </c>
      <c r="L158" s="112" t="s">
        <v>184</v>
      </c>
      <c r="M158" s="112" t="s">
        <v>184</v>
      </c>
      <c r="N158" s="112" t="s">
        <v>184</v>
      </c>
      <c r="O158" s="112" t="s">
        <v>655</v>
      </c>
      <c r="P158" s="112" t="s">
        <v>655</v>
      </c>
      <c r="Q158" s="112" t="s">
        <v>656</v>
      </c>
      <c r="R158" s="112">
        <v>26780</v>
      </c>
      <c r="S158" s="112">
        <v>26780</v>
      </c>
      <c r="T158" s="113">
        <v>2650</v>
      </c>
      <c r="U158" s="113">
        <v>2650</v>
      </c>
      <c r="V158" s="113">
        <v>0</v>
      </c>
      <c r="W158" s="113">
        <v>0</v>
      </c>
      <c r="X158" s="112"/>
      <c r="Y158" s="113"/>
      <c r="Z158" s="87" t="str">
        <f t="shared" si="8"/>
        <v>LAPA/PARANAGUA</v>
      </c>
      <c r="AA158" s="87">
        <f>IFERROR(_xlfn.XLOOKUP(Z158,Rotas!C:C,Rotas!D:D),"0")</f>
        <v>465</v>
      </c>
      <c r="AB158" s="88" t="str">
        <f t="shared" si="9"/>
        <v>BWT</v>
      </c>
      <c r="AC158" s="21" t="str" cm="1">
        <f t="array" ref="AC158">IFERROR(
INDEX(
_xlfn._xlws.FILTER(
BWT!$C$1:$C$100,
ISNUMBER(FIND(
SUBSTITUTE(BWT!$C$1:$C$100," ",""),
SUBSTITUTE(SUBSTITUTE(SUBSTITUTE(F158," ",""),"-",""),CHAR(160),"")
))
),
1
),
"")</f>
        <v>SEE0I16</v>
      </c>
    </row>
    <row r="159" spans="1:29" hidden="1" x14ac:dyDescent="0.3">
      <c r="A159" s="112" t="s">
        <v>773</v>
      </c>
      <c r="B159" s="112" t="s">
        <v>165</v>
      </c>
      <c r="C159" s="112" t="s">
        <v>722</v>
      </c>
      <c r="D159" s="112" t="s">
        <v>774</v>
      </c>
      <c r="E159" s="112" t="s">
        <v>775</v>
      </c>
      <c r="F159" s="112" t="s">
        <v>424</v>
      </c>
      <c r="G159" s="112" t="s">
        <v>667</v>
      </c>
      <c r="H159" s="112" t="s">
        <v>183</v>
      </c>
      <c r="I159" s="112" t="s">
        <v>172</v>
      </c>
      <c r="J159" s="112" t="s">
        <v>171</v>
      </c>
      <c r="K159" s="112" t="s">
        <v>172</v>
      </c>
      <c r="L159" s="112" t="s">
        <v>184</v>
      </c>
      <c r="M159" s="112" t="s">
        <v>184</v>
      </c>
      <c r="N159" s="112" t="s">
        <v>184</v>
      </c>
      <c r="O159" s="112" t="s">
        <v>655</v>
      </c>
      <c r="P159" s="112" t="s">
        <v>655</v>
      </c>
      <c r="Q159" s="112" t="s">
        <v>656</v>
      </c>
      <c r="R159" s="112">
        <v>26810</v>
      </c>
      <c r="S159" s="112">
        <v>26810</v>
      </c>
      <c r="T159" s="113">
        <v>2650</v>
      </c>
      <c r="U159" s="113">
        <v>2650</v>
      </c>
      <c r="V159" s="113">
        <v>0</v>
      </c>
      <c r="W159" s="113">
        <v>0</v>
      </c>
      <c r="X159" s="112"/>
      <c r="Y159" s="113"/>
      <c r="Z159" s="87" t="str">
        <f t="shared" si="8"/>
        <v>LAPA/PARANAGUA</v>
      </c>
      <c r="AA159" s="87">
        <f>IFERROR(_xlfn.XLOOKUP(Z159,Rotas!C:C,Rotas!D:D),"0")</f>
        <v>465</v>
      </c>
      <c r="AB159" s="88" t="str">
        <f t="shared" si="9"/>
        <v>BWT</v>
      </c>
      <c r="AC159" s="21" t="str" cm="1">
        <f t="array" ref="AC159">IFERROR(
INDEX(
_xlfn._xlws.FILTER(
BWT!$C$1:$C$100,
ISNUMBER(FIND(
SUBSTITUTE(BWT!$C$1:$C$100," ",""),
SUBSTITUTE(SUBSTITUTE(SUBSTITUTE(F159," ",""),"-",""),CHAR(160),"")
))
),
1
),
"")</f>
        <v>SEE0I16</v>
      </c>
    </row>
    <row r="160" spans="1:29" hidden="1" x14ac:dyDescent="0.3">
      <c r="A160" s="112" t="s">
        <v>776</v>
      </c>
      <c r="B160" s="112" t="s">
        <v>165</v>
      </c>
      <c r="C160" s="112" t="s">
        <v>722</v>
      </c>
      <c r="D160" s="112" t="s">
        <v>777</v>
      </c>
      <c r="E160" s="112" t="s">
        <v>778</v>
      </c>
      <c r="F160" s="112" t="s">
        <v>671</v>
      </c>
      <c r="G160" s="112" t="s">
        <v>672</v>
      </c>
      <c r="H160" s="112" t="s">
        <v>183</v>
      </c>
      <c r="I160" s="112" t="s">
        <v>172</v>
      </c>
      <c r="J160" s="112" t="s">
        <v>171</v>
      </c>
      <c r="K160" s="112" t="s">
        <v>172</v>
      </c>
      <c r="L160" s="112" t="s">
        <v>184</v>
      </c>
      <c r="M160" s="112" t="s">
        <v>184</v>
      </c>
      <c r="N160" s="112" t="s">
        <v>184</v>
      </c>
      <c r="O160" s="112" t="s">
        <v>655</v>
      </c>
      <c r="P160" s="112" t="s">
        <v>655</v>
      </c>
      <c r="Q160" s="112" t="s">
        <v>656</v>
      </c>
      <c r="R160" s="112">
        <v>26710</v>
      </c>
      <c r="S160" s="112">
        <v>26710</v>
      </c>
      <c r="T160" s="113">
        <v>2650</v>
      </c>
      <c r="U160" s="113">
        <v>2650</v>
      </c>
      <c r="V160" s="113">
        <v>0</v>
      </c>
      <c r="W160" s="113">
        <v>0</v>
      </c>
      <c r="X160" s="112"/>
      <c r="Y160" s="113"/>
      <c r="Z160" s="87" t="str">
        <f t="shared" si="8"/>
        <v>LAPA/PARANAGUA</v>
      </c>
      <c r="AA160" s="87">
        <f>IFERROR(_xlfn.XLOOKUP(Z160,Rotas!C:C,Rotas!D:D),"0")</f>
        <v>465</v>
      </c>
      <c r="AB160" s="88" t="str">
        <f t="shared" si="9"/>
        <v>BWT</v>
      </c>
      <c r="AC160" s="21" t="str" cm="1">
        <f t="array" ref="AC160">IFERROR(
INDEX(
_xlfn._xlws.FILTER(
BWT!$C$1:$C$100,
ISNUMBER(FIND(
SUBSTITUTE(BWT!$C$1:$C$100," ",""),
SUBSTITUTE(SUBSTITUTE(SUBSTITUTE(F160," ",""),"-",""),CHAR(160),"")
))
),
1
),
"")</f>
        <v>BEZ9A98</v>
      </c>
    </row>
    <row r="161" spans="1:29" hidden="1" x14ac:dyDescent="0.3">
      <c r="A161" s="112" t="s">
        <v>779</v>
      </c>
      <c r="B161" s="112" t="s">
        <v>165</v>
      </c>
      <c r="C161" s="112" t="s">
        <v>722</v>
      </c>
      <c r="D161" s="112" t="s">
        <v>780</v>
      </c>
      <c r="E161" s="112" t="s">
        <v>781</v>
      </c>
      <c r="F161" s="112" t="s">
        <v>671</v>
      </c>
      <c r="G161" s="112" t="s">
        <v>672</v>
      </c>
      <c r="H161" s="112" t="s">
        <v>183</v>
      </c>
      <c r="I161" s="112" t="s">
        <v>172</v>
      </c>
      <c r="J161" s="112" t="s">
        <v>171</v>
      </c>
      <c r="K161" s="112" t="s">
        <v>172</v>
      </c>
      <c r="L161" s="112" t="s">
        <v>184</v>
      </c>
      <c r="M161" s="112" t="s">
        <v>184</v>
      </c>
      <c r="N161" s="112" t="s">
        <v>184</v>
      </c>
      <c r="O161" s="112" t="s">
        <v>655</v>
      </c>
      <c r="P161" s="112" t="s">
        <v>655</v>
      </c>
      <c r="Q161" s="112" t="s">
        <v>656</v>
      </c>
      <c r="R161" s="112">
        <v>26750</v>
      </c>
      <c r="S161" s="112">
        <v>26750</v>
      </c>
      <c r="T161" s="113">
        <v>2650</v>
      </c>
      <c r="U161" s="113">
        <v>2650</v>
      </c>
      <c r="V161" s="113">
        <v>0</v>
      </c>
      <c r="W161" s="113">
        <v>0</v>
      </c>
      <c r="X161" s="112"/>
      <c r="Y161" s="113"/>
      <c r="Z161" s="87" t="str">
        <f t="shared" si="8"/>
        <v>LAPA/PARANAGUA</v>
      </c>
      <c r="AA161" s="87">
        <f>IFERROR(_xlfn.XLOOKUP(Z161,Rotas!C:C,Rotas!D:D),"0")</f>
        <v>465</v>
      </c>
      <c r="AB161" s="88" t="str">
        <f t="shared" si="9"/>
        <v>BWT</v>
      </c>
      <c r="AC161" s="21" t="str" cm="1">
        <f t="array" ref="AC161">IFERROR(
INDEX(
_xlfn._xlws.FILTER(
BWT!$C$1:$C$100,
ISNUMBER(FIND(
SUBSTITUTE(BWT!$C$1:$C$100," ",""),
SUBSTITUTE(SUBSTITUTE(SUBSTITUTE(F161," ",""),"-",""),CHAR(160),"")
))
),
1
),
"")</f>
        <v>BEZ9A98</v>
      </c>
    </row>
    <row r="162" spans="1:29" hidden="1" x14ac:dyDescent="0.3">
      <c r="A162" s="112" t="s">
        <v>782</v>
      </c>
      <c r="B162" s="112" t="s">
        <v>236</v>
      </c>
      <c r="C162" s="112" t="s">
        <v>722</v>
      </c>
      <c r="D162" s="112" t="s">
        <v>585</v>
      </c>
      <c r="E162" s="112"/>
      <c r="F162" s="112" t="s">
        <v>433</v>
      </c>
      <c r="G162" s="112" t="s">
        <v>434</v>
      </c>
      <c r="H162" s="112"/>
      <c r="I162" s="112" t="s">
        <v>174</v>
      </c>
      <c r="J162" s="112"/>
      <c r="K162" s="112" t="s">
        <v>232</v>
      </c>
      <c r="L162" s="112" t="s">
        <v>217</v>
      </c>
      <c r="M162" s="112" t="s">
        <v>716</v>
      </c>
      <c r="N162" s="112" t="s">
        <v>716</v>
      </c>
      <c r="O162" s="112" t="s">
        <v>217</v>
      </c>
      <c r="P162" s="112" t="s">
        <v>217</v>
      </c>
      <c r="Q162" s="112"/>
      <c r="R162" s="112"/>
      <c r="S162" s="112"/>
      <c r="T162" s="113">
        <v>1270.49</v>
      </c>
      <c r="U162" s="113">
        <v>1270.49</v>
      </c>
      <c r="V162" s="113">
        <v>0</v>
      </c>
      <c r="W162" s="113">
        <v>0</v>
      </c>
      <c r="X162" s="121">
        <v>0.12</v>
      </c>
      <c r="Y162" s="113">
        <v>1270.49</v>
      </c>
      <c r="Z162" s="87" t="str">
        <f t="shared" ref="Z162:Z168" si="10">IF(H162&amp;J162="","CT-e COMPLEMENTAR",H162&amp;"/"&amp;J162)</f>
        <v>CT-e COMPLEMENTAR</v>
      </c>
      <c r="AA162" s="87" t="str">
        <f>IFERROR(_xlfn.XLOOKUP(Z162,Rotas!C:C,Rotas!D:D),"0")</f>
        <v>0</v>
      </c>
      <c r="AB162" s="88" t="str">
        <f t="shared" ref="AB162:AB168" si="11">IF(AC162=0,"SUBCONTRATADO","BWT")</f>
        <v>BWT</v>
      </c>
      <c r="AC162" s="21" t="str" cm="1">
        <f t="array" ref="AC162">IFERROR(
INDEX(
_xlfn._xlws.FILTER(
BWT!$C$1:$C$100,
ISNUMBER(FIND(
SUBSTITUTE(BWT!$C$1:$C$100," ",""),
SUBSTITUTE(SUBSTITUTE(SUBSTITUTE(F162," ",""),"-",""),CHAR(160),"")
))
),
1
),
"")</f>
        <v>SEE0I05</v>
      </c>
    </row>
    <row r="163" spans="1:29" x14ac:dyDescent="0.3">
      <c r="A163" s="112" t="s">
        <v>783</v>
      </c>
      <c r="B163" s="112" t="s">
        <v>236</v>
      </c>
      <c r="C163" s="112" t="s">
        <v>722</v>
      </c>
      <c r="D163" s="112" t="s">
        <v>784</v>
      </c>
      <c r="E163" s="112" t="s">
        <v>785</v>
      </c>
      <c r="F163" s="112" t="s">
        <v>213</v>
      </c>
      <c r="G163" s="112" t="s">
        <v>214</v>
      </c>
      <c r="H163" s="112" t="s">
        <v>241</v>
      </c>
      <c r="I163" s="112" t="s">
        <v>174</v>
      </c>
      <c r="J163" s="112" t="s">
        <v>786</v>
      </c>
      <c r="K163" s="112" t="s">
        <v>232</v>
      </c>
      <c r="L163" s="112" t="s">
        <v>787</v>
      </c>
      <c r="M163" s="112" t="s">
        <v>245</v>
      </c>
      <c r="N163" s="112" t="s">
        <v>245</v>
      </c>
      <c r="O163" s="112" t="s">
        <v>787</v>
      </c>
      <c r="P163" s="112" t="s">
        <v>787</v>
      </c>
      <c r="Q163" s="112" t="s">
        <v>246</v>
      </c>
      <c r="R163" s="112">
        <v>59724</v>
      </c>
      <c r="S163" s="112">
        <v>52300</v>
      </c>
      <c r="T163" s="113">
        <v>20234.490000000002</v>
      </c>
      <c r="U163" s="113">
        <v>17806.349999999999</v>
      </c>
      <c r="V163" s="113">
        <v>0</v>
      </c>
      <c r="W163" s="113">
        <v>2428.14</v>
      </c>
      <c r="X163" s="121">
        <v>0.12</v>
      </c>
      <c r="Y163" s="113">
        <v>20234.490000000002</v>
      </c>
      <c r="Z163" s="89" t="str">
        <f t="shared" si="10"/>
        <v>CAMARGO/BARUERI</v>
      </c>
      <c r="AA163" s="89">
        <f>IFERROR(_xlfn.XLOOKUP(Z163,Rotas!C:C,Rotas!D:D),"0")</f>
        <v>1000</v>
      </c>
      <c r="AB163" s="97" t="str">
        <f t="shared" si="11"/>
        <v>BWT</v>
      </c>
      <c r="AC163" s="21" t="str" cm="1">
        <f t="array" ref="AC163">IFERROR(
INDEX(
_xlfn._xlws.FILTER(
BWT!$C$1:$C$100,
ISNUMBER(FIND(
SUBSTITUTE(BWT!$C$1:$C$100," ",""),
SUBSTITUTE(SUBSTITUTE(SUBSTITUTE(F163," ",""),"-",""),CHAR(160),"")
))
),
1
),
"")</f>
        <v>TAW8B89</v>
      </c>
    </row>
    <row r="164" spans="1:29" hidden="1" x14ac:dyDescent="0.3">
      <c r="A164" s="112" t="s">
        <v>788</v>
      </c>
      <c r="B164" s="112" t="s">
        <v>236</v>
      </c>
      <c r="C164" s="112" t="s">
        <v>722</v>
      </c>
      <c r="D164" s="112" t="s">
        <v>594</v>
      </c>
      <c r="E164" s="112" t="s">
        <v>789</v>
      </c>
      <c r="F164" s="112" t="s">
        <v>375</v>
      </c>
      <c r="G164" s="112" t="s">
        <v>376</v>
      </c>
      <c r="H164" s="112" t="s">
        <v>173</v>
      </c>
      <c r="I164" s="112" t="s">
        <v>174</v>
      </c>
      <c r="J164" s="112" t="s">
        <v>253</v>
      </c>
      <c r="K164" s="112" t="s">
        <v>243</v>
      </c>
      <c r="L164" s="112" t="s">
        <v>254</v>
      </c>
      <c r="M164" s="112" t="s">
        <v>255</v>
      </c>
      <c r="N164" s="112" t="s">
        <v>255</v>
      </c>
      <c r="O164" s="112" t="s">
        <v>254</v>
      </c>
      <c r="P164" s="112" t="s">
        <v>254</v>
      </c>
      <c r="Q164" s="112" t="s">
        <v>246</v>
      </c>
      <c r="R164" s="112">
        <v>57780</v>
      </c>
      <c r="S164" s="112">
        <v>50900</v>
      </c>
      <c r="T164" s="113">
        <v>5252.73</v>
      </c>
      <c r="U164" s="113">
        <v>4622.3999999999996</v>
      </c>
      <c r="V164" s="113">
        <v>0</v>
      </c>
      <c r="W164" s="113">
        <v>630.33000000000004</v>
      </c>
      <c r="X164" s="121">
        <v>0.12</v>
      </c>
      <c r="Y164" s="113">
        <v>5252.73</v>
      </c>
      <c r="Z164" s="89" t="str">
        <f t="shared" si="10"/>
        <v>IJUI/CHAPECO</v>
      </c>
      <c r="AA164" s="89">
        <f>IFERROR(_xlfn.XLOOKUP(Z164,Rotas!C:C,Rotas!D:D),"0")</f>
        <v>279</v>
      </c>
      <c r="AB164" s="97" t="str">
        <f t="shared" si="11"/>
        <v>BWT</v>
      </c>
      <c r="AC164" s="21" t="str" cm="1">
        <f t="array" ref="AC164">IFERROR(
INDEX(
_xlfn._xlws.FILTER(
BWT!$C$1:$C$100,
ISNUMBER(FIND(
SUBSTITUTE(BWT!$C$1:$C$100," ",""),
SUBSTITUTE(SUBSTITUTE(SUBSTITUTE(F164," ",""),"-",""),CHAR(160),"")
))
),
1
),
"")</f>
        <v>BDQ4E23</v>
      </c>
    </row>
    <row r="165" spans="1:29" hidden="1" x14ac:dyDescent="0.3">
      <c r="A165" s="112" t="s">
        <v>790</v>
      </c>
      <c r="B165" s="112" t="s">
        <v>236</v>
      </c>
      <c r="C165" s="112" t="s">
        <v>722</v>
      </c>
      <c r="D165" s="112" t="s">
        <v>589</v>
      </c>
      <c r="E165" s="112" t="s">
        <v>791</v>
      </c>
      <c r="F165" s="112" t="s">
        <v>223</v>
      </c>
      <c r="G165" s="112" t="s">
        <v>792</v>
      </c>
      <c r="H165" s="112" t="s">
        <v>241</v>
      </c>
      <c r="I165" s="112" t="s">
        <v>174</v>
      </c>
      <c r="J165" s="112" t="s">
        <v>281</v>
      </c>
      <c r="K165" s="112" t="s">
        <v>232</v>
      </c>
      <c r="L165" s="112" t="s">
        <v>415</v>
      </c>
      <c r="M165" s="112" t="s">
        <v>245</v>
      </c>
      <c r="N165" s="112" t="s">
        <v>245</v>
      </c>
      <c r="O165" s="112" t="s">
        <v>415</v>
      </c>
      <c r="P165" s="112" t="s">
        <v>415</v>
      </c>
      <c r="Q165" s="112" t="s">
        <v>246</v>
      </c>
      <c r="R165" s="112">
        <v>59682</v>
      </c>
      <c r="S165" s="112">
        <v>52240</v>
      </c>
      <c r="T165" s="113">
        <v>15517.32</v>
      </c>
      <c r="U165" s="113">
        <v>12584.87</v>
      </c>
      <c r="V165" s="113">
        <v>1070.3699999999999</v>
      </c>
      <c r="W165" s="113">
        <v>1862.08</v>
      </c>
      <c r="X165" s="121">
        <v>0.12</v>
      </c>
      <c r="Y165" s="113">
        <v>15517.32</v>
      </c>
      <c r="Z165" s="87" t="str">
        <f t="shared" si="10"/>
        <v>CAMARGO/PAULINIA</v>
      </c>
      <c r="AA165" s="87">
        <f>IFERROR(_xlfn.XLOOKUP(Z165,Rotas!C:C,Rotas!D:D),"0")</f>
        <v>1094</v>
      </c>
      <c r="AB165" s="88" t="str">
        <f t="shared" si="11"/>
        <v>BWT</v>
      </c>
      <c r="AC165" s="21" t="str" cm="1">
        <f t="array" ref="AC165">IFERROR(
INDEX(
_xlfn._xlws.FILTER(
BWT!$C$1:$C$100,
ISNUMBER(FIND(
SUBSTITUTE(BWT!$C$1:$C$100," ",""),
SUBSTITUTE(SUBSTITUTE(SUBSTITUTE(F165," ",""),"-",""),CHAR(160),"")
))
),
1
),
"")</f>
        <v>SFA7G28</v>
      </c>
    </row>
    <row r="166" spans="1:29" hidden="1" x14ac:dyDescent="0.3">
      <c r="A166" s="112" t="s">
        <v>793</v>
      </c>
      <c r="B166" s="112" t="s">
        <v>794</v>
      </c>
      <c r="C166" s="112" t="s">
        <v>722</v>
      </c>
      <c r="D166" s="112" t="s">
        <v>795</v>
      </c>
      <c r="E166" s="112"/>
      <c r="F166" s="112" t="s">
        <v>297</v>
      </c>
      <c r="G166" s="112" t="s">
        <v>335</v>
      </c>
      <c r="H166" s="112"/>
      <c r="I166" s="112" t="s">
        <v>796</v>
      </c>
      <c r="J166" s="112"/>
      <c r="K166" s="112" t="s">
        <v>243</v>
      </c>
      <c r="L166" s="112" t="s">
        <v>244</v>
      </c>
      <c r="M166" s="112" t="s">
        <v>797</v>
      </c>
      <c r="N166" s="112" t="s">
        <v>797</v>
      </c>
      <c r="O166" s="112" t="s">
        <v>244</v>
      </c>
      <c r="P166" s="112" t="s">
        <v>244</v>
      </c>
      <c r="Q166" s="112"/>
      <c r="R166" s="112"/>
      <c r="S166" s="112"/>
      <c r="T166" s="113">
        <v>93.55</v>
      </c>
      <c r="U166" s="113">
        <v>93.55</v>
      </c>
      <c r="V166" s="113">
        <v>0</v>
      </c>
      <c r="W166" s="113">
        <v>0</v>
      </c>
      <c r="X166" s="121">
        <v>0.12</v>
      </c>
      <c r="Y166" s="113">
        <v>93.55</v>
      </c>
      <c r="Z166" s="87" t="str">
        <f t="shared" si="10"/>
        <v>CT-e COMPLEMENTAR</v>
      </c>
      <c r="AA166" s="87" t="str">
        <f>IFERROR(_xlfn.XLOOKUP(Z166,Rotas!C:C,Rotas!D:D),"0")</f>
        <v>0</v>
      </c>
      <c r="AB166" s="88" t="str">
        <f t="shared" si="11"/>
        <v>BWT</v>
      </c>
      <c r="AC166" s="21" t="str" cm="1">
        <f t="array" ref="AC166">IFERROR(
INDEX(
_xlfn._xlws.FILTER(
BWT!$C$1:$C$100,
ISNUMBER(FIND(
SUBSTITUTE(BWT!$C$1:$C$100," ",""),
SUBSTITUTE(SUBSTITUTE(SUBSTITUTE(F166," ",""),"-",""),CHAR(160),"")
))
),
1
),
"")</f>
        <v>SEX2C73</v>
      </c>
    </row>
    <row r="167" spans="1:29" hidden="1" x14ac:dyDescent="0.3">
      <c r="A167" s="112" t="s">
        <v>798</v>
      </c>
      <c r="B167" s="112" t="s">
        <v>226</v>
      </c>
      <c r="C167" s="112" t="s">
        <v>799</v>
      </c>
      <c r="D167" s="112" t="s">
        <v>800</v>
      </c>
      <c r="E167" s="112" t="s">
        <v>801</v>
      </c>
      <c r="F167" s="112" t="s">
        <v>438</v>
      </c>
      <c r="G167" s="112" t="s">
        <v>439</v>
      </c>
      <c r="H167" s="112" t="s">
        <v>280</v>
      </c>
      <c r="I167" s="112" t="s">
        <v>232</v>
      </c>
      <c r="J167" s="112" t="s">
        <v>281</v>
      </c>
      <c r="K167" s="112" t="s">
        <v>232</v>
      </c>
      <c r="L167" s="112" t="s">
        <v>254</v>
      </c>
      <c r="M167" s="112" t="s">
        <v>254</v>
      </c>
      <c r="N167" s="112" t="s">
        <v>452</v>
      </c>
      <c r="O167" s="112" t="s">
        <v>217</v>
      </c>
      <c r="P167" s="112" t="s">
        <v>217</v>
      </c>
      <c r="Q167" s="112" t="s">
        <v>498</v>
      </c>
      <c r="R167" s="112">
        <v>44878</v>
      </c>
      <c r="S167" s="112">
        <v>37190</v>
      </c>
      <c r="T167" s="113">
        <v>2360.17</v>
      </c>
      <c r="U167" s="113">
        <v>2076.9499999999998</v>
      </c>
      <c r="V167" s="113">
        <v>0</v>
      </c>
      <c r="W167" s="113">
        <v>283.22000000000003</v>
      </c>
      <c r="X167" s="121">
        <v>0.12</v>
      </c>
      <c r="Y167" s="113">
        <v>2360.17</v>
      </c>
      <c r="Z167" s="87" t="str">
        <f t="shared" si="10"/>
        <v>SANTOS/PAULINIA</v>
      </c>
      <c r="AA167" s="87">
        <f>IFERROR(_xlfn.XLOOKUP(Z167,Rotas!C:C,Rotas!D:D),"0")</f>
        <v>215</v>
      </c>
      <c r="AB167" s="88" t="str">
        <f t="shared" si="11"/>
        <v>BWT</v>
      </c>
      <c r="AC167" s="21" t="str" cm="1">
        <f t="array" ref="AC167">IFERROR(
INDEX(
_xlfn._xlws.FILTER(
BWT!$C$1:$C$100,
ISNUMBER(FIND(
SUBSTITUTE(BWT!$C$1:$C$100," ",""),
SUBSTITUTE(SUBSTITUTE(SUBSTITUTE(F167," ",""),"-",""),CHAR(160),"")
))
),
1
),
"")</f>
        <v>SFC5F45</v>
      </c>
    </row>
    <row r="168" spans="1:29" hidden="1" x14ac:dyDescent="0.3">
      <c r="A168" s="112" t="s">
        <v>802</v>
      </c>
      <c r="B168" s="112" t="s">
        <v>226</v>
      </c>
      <c r="C168" s="112" t="s">
        <v>799</v>
      </c>
      <c r="D168" s="112" t="s">
        <v>803</v>
      </c>
      <c r="E168" s="112" t="s">
        <v>804</v>
      </c>
      <c r="F168" s="112" t="s">
        <v>169</v>
      </c>
      <c r="G168" s="112" t="s">
        <v>170</v>
      </c>
      <c r="H168" s="112" t="s">
        <v>280</v>
      </c>
      <c r="I168" s="112" t="s">
        <v>232</v>
      </c>
      <c r="J168" s="112" t="s">
        <v>281</v>
      </c>
      <c r="K168" s="112" t="s">
        <v>232</v>
      </c>
      <c r="L168" s="112" t="s">
        <v>254</v>
      </c>
      <c r="M168" s="112" t="s">
        <v>254</v>
      </c>
      <c r="N168" s="112" t="s">
        <v>598</v>
      </c>
      <c r="O168" s="112" t="s">
        <v>217</v>
      </c>
      <c r="P168" s="112" t="s">
        <v>217</v>
      </c>
      <c r="Q168" s="112" t="s">
        <v>283</v>
      </c>
      <c r="R168" s="112">
        <v>59405</v>
      </c>
      <c r="S168" s="112">
        <v>41578</v>
      </c>
      <c r="T168" s="113">
        <v>3149.82</v>
      </c>
      <c r="U168" s="113">
        <v>2771.84</v>
      </c>
      <c r="V168" s="113">
        <v>0</v>
      </c>
      <c r="W168" s="113">
        <v>377.98</v>
      </c>
      <c r="X168" s="121">
        <v>0.12</v>
      </c>
      <c r="Y168" s="113">
        <v>3149.82</v>
      </c>
      <c r="Z168" s="89" t="str">
        <f t="shared" si="10"/>
        <v>SANTOS/PAULINIA</v>
      </c>
      <c r="AA168" s="89">
        <f>IFERROR(_xlfn.XLOOKUP(Z168,Rotas!C:C,Rotas!D:D),"0")</f>
        <v>215</v>
      </c>
      <c r="AB168" s="97" t="str">
        <f t="shared" si="11"/>
        <v>BWT</v>
      </c>
      <c r="AC168" s="21" t="str" cm="1">
        <f t="array" ref="AC168">IFERROR(
INDEX(
_xlfn._xlws.FILTER(
BWT!$C$1:$C$100,
ISNUMBER(FIND(
SUBSTITUTE(BWT!$C$1:$C$100," ",""),
SUBSTITUTE(SUBSTITUTE(SUBSTITUTE(F168," ",""),"-",""),CHAR(160),"")
))
),
1
),
"")</f>
        <v>SEY8B43</v>
      </c>
    </row>
    <row r="169" spans="1:29" hidden="1" x14ac:dyDescent="0.3">
      <c r="A169" s="112" t="s">
        <v>805</v>
      </c>
      <c r="B169" s="112" t="s">
        <v>226</v>
      </c>
      <c r="C169" s="112" t="s">
        <v>799</v>
      </c>
      <c r="D169" s="112" t="s">
        <v>806</v>
      </c>
      <c r="E169" s="112" t="s">
        <v>807</v>
      </c>
      <c r="F169" s="112" t="s">
        <v>808</v>
      </c>
      <c r="G169" s="112" t="s">
        <v>404</v>
      </c>
      <c r="H169" s="112" t="s">
        <v>280</v>
      </c>
      <c r="I169" s="112" t="s">
        <v>232</v>
      </c>
      <c r="J169" s="112" t="s">
        <v>281</v>
      </c>
      <c r="K169" s="112" t="s">
        <v>232</v>
      </c>
      <c r="L169" s="112" t="s">
        <v>254</v>
      </c>
      <c r="M169" s="112" t="s">
        <v>254</v>
      </c>
      <c r="N169" s="112" t="s">
        <v>598</v>
      </c>
      <c r="O169" s="112" t="s">
        <v>217</v>
      </c>
      <c r="P169" s="112" t="s">
        <v>217</v>
      </c>
      <c r="Q169" s="112" t="s">
        <v>283</v>
      </c>
      <c r="R169" s="112">
        <v>59322</v>
      </c>
      <c r="S169" s="112">
        <v>41519</v>
      </c>
      <c r="T169" s="113">
        <v>3150.14</v>
      </c>
      <c r="U169" s="113">
        <v>2772.12</v>
      </c>
      <c r="V169" s="113">
        <v>0</v>
      </c>
      <c r="W169" s="113">
        <v>378.02</v>
      </c>
      <c r="X169" s="121">
        <v>0.12</v>
      </c>
      <c r="Y169" s="113">
        <v>3150.14</v>
      </c>
      <c r="Z169" s="87" t="str">
        <f t="shared" ref="Z169:Z186" si="12">IF(H169&amp;J169="","CT-e COMPLEMENTAR",H169&amp;"/"&amp;J169)</f>
        <v>SANTOS/PAULINIA</v>
      </c>
      <c r="AA169" s="87">
        <f>IFERROR(_xlfn.XLOOKUP(Z169,Rotas!C:C,Rotas!D:D),"0")</f>
        <v>215</v>
      </c>
      <c r="AB169" s="88" t="str">
        <f t="shared" ref="AB169:AB186" si="13">IF(AC169=0,"SUBCONTRATADO","BWT")</f>
        <v>BWT</v>
      </c>
      <c r="AC169" s="21" t="str" cm="1">
        <f t="array" ref="AC169">IFERROR(
INDEX(
_xlfn._xlws.FILTER(
BWT!$C$1:$C$100,
ISNUMBER(FIND(
SUBSTITUTE(BWT!$C$1:$C$100," ",""),
SUBSTITUTE(SUBSTITUTE(SUBSTITUTE(F169," ",""),"-",""),CHAR(160),"")
))
),
1
),
"")</f>
        <v>SEE2J86</v>
      </c>
    </row>
    <row r="170" spans="1:29" hidden="1" x14ac:dyDescent="0.3">
      <c r="A170" s="112" t="s">
        <v>809</v>
      </c>
      <c r="B170" s="112" t="s">
        <v>165</v>
      </c>
      <c r="C170" s="112" t="s">
        <v>799</v>
      </c>
      <c r="D170" s="112" t="s">
        <v>810</v>
      </c>
      <c r="E170" s="112" t="s">
        <v>811</v>
      </c>
      <c r="F170" s="112" t="s">
        <v>181</v>
      </c>
      <c r="G170" s="112" t="s">
        <v>182</v>
      </c>
      <c r="H170" s="112" t="s">
        <v>171</v>
      </c>
      <c r="I170" s="112" t="s">
        <v>172</v>
      </c>
      <c r="J170" s="112" t="s">
        <v>183</v>
      </c>
      <c r="K170" s="112" t="s">
        <v>172</v>
      </c>
      <c r="L170" s="112" t="s">
        <v>184</v>
      </c>
      <c r="M170" s="112" t="s">
        <v>176</v>
      </c>
      <c r="N170" s="112" t="s">
        <v>176</v>
      </c>
      <c r="O170" s="112" t="s">
        <v>184</v>
      </c>
      <c r="P170" s="112" t="s">
        <v>184</v>
      </c>
      <c r="Q170" s="112" t="s">
        <v>177</v>
      </c>
      <c r="R170" s="112">
        <v>38294</v>
      </c>
      <c r="S170" s="112">
        <v>58354</v>
      </c>
      <c r="T170" s="113">
        <v>3932.79</v>
      </c>
      <c r="U170" s="113">
        <v>3932.79</v>
      </c>
      <c r="V170" s="113">
        <v>0</v>
      </c>
      <c r="W170" s="113">
        <v>0</v>
      </c>
      <c r="X170" s="112"/>
      <c r="Y170" s="113"/>
      <c r="Z170" s="87" t="str">
        <f t="shared" si="12"/>
        <v>PARANAGUA/LAPA</v>
      </c>
      <c r="AA170" s="87">
        <f>IFERROR(_xlfn.XLOOKUP(Z170,Rotas!C:C,Rotas!D:D),"0")</f>
        <v>153</v>
      </c>
      <c r="AB170" s="88" t="str">
        <f t="shared" si="13"/>
        <v>BWT</v>
      </c>
      <c r="AC170" s="21" t="str" cm="1">
        <f t="array" ref="AC170">IFERROR(
INDEX(
_xlfn._xlws.FILTER(
BWT!$C$1:$C$100,
ISNUMBER(FIND(
SUBSTITUTE(BWT!$C$1:$C$100," ",""),
SUBSTITUTE(SUBSTITUTE(SUBSTITUTE(F170," ",""),"-",""),CHAR(160),"")
))
),
1
),
"")</f>
        <v>BDF9C15</v>
      </c>
    </row>
    <row r="171" spans="1:29" hidden="1" x14ac:dyDescent="0.3">
      <c r="A171" s="112" t="s">
        <v>812</v>
      </c>
      <c r="B171" s="112" t="s">
        <v>165</v>
      </c>
      <c r="C171" s="112" t="s">
        <v>799</v>
      </c>
      <c r="D171" s="112" t="s">
        <v>813</v>
      </c>
      <c r="E171" s="112" t="s">
        <v>814</v>
      </c>
      <c r="F171" s="112" t="s">
        <v>89</v>
      </c>
      <c r="G171" s="112" t="s">
        <v>268</v>
      </c>
      <c r="H171" s="112" t="s">
        <v>171</v>
      </c>
      <c r="I171" s="112" t="s">
        <v>172</v>
      </c>
      <c r="J171" s="112" t="s">
        <v>183</v>
      </c>
      <c r="K171" s="112" t="s">
        <v>172</v>
      </c>
      <c r="L171" s="112" t="s">
        <v>184</v>
      </c>
      <c r="M171" s="112" t="s">
        <v>176</v>
      </c>
      <c r="N171" s="112" t="s">
        <v>176</v>
      </c>
      <c r="O171" s="112" t="s">
        <v>184</v>
      </c>
      <c r="P171" s="112" t="s">
        <v>184</v>
      </c>
      <c r="Q171" s="112" t="s">
        <v>177</v>
      </c>
      <c r="R171" s="112">
        <v>38041</v>
      </c>
      <c r="S171" s="112">
        <v>58301</v>
      </c>
      <c r="T171" s="113">
        <v>3906.81</v>
      </c>
      <c r="U171" s="113">
        <v>3906.81</v>
      </c>
      <c r="V171" s="113">
        <v>0</v>
      </c>
      <c r="W171" s="113">
        <v>0</v>
      </c>
      <c r="X171" s="112"/>
      <c r="Y171" s="113"/>
      <c r="Z171" s="87" t="str">
        <f t="shared" si="12"/>
        <v>PARANAGUA/LAPA</v>
      </c>
      <c r="AA171" s="87">
        <f>IFERROR(_xlfn.XLOOKUP(Z171,Rotas!C:C,Rotas!D:D),"0")</f>
        <v>153</v>
      </c>
      <c r="AB171" s="88" t="str">
        <f t="shared" si="13"/>
        <v>BWT</v>
      </c>
      <c r="AC171" s="21" t="str" cm="1">
        <f t="array" ref="AC171">IFERROR(
INDEX(
_xlfn._xlws.FILTER(
BWT!$C$1:$C$100,
ISNUMBER(FIND(
SUBSTITUTE(BWT!$C$1:$C$100," ",""),
SUBSTITUTE(SUBSTITUTE(SUBSTITUTE(F171," ",""),"-",""),CHAR(160),"")
))
),
1
),
"")</f>
        <v>BBM5I48</v>
      </c>
    </row>
    <row r="172" spans="1:29" hidden="1" x14ac:dyDescent="0.3">
      <c r="A172" s="112" t="s">
        <v>815</v>
      </c>
      <c r="B172" s="112" t="s">
        <v>165</v>
      </c>
      <c r="C172" s="112" t="s">
        <v>799</v>
      </c>
      <c r="D172" s="112" t="s">
        <v>816</v>
      </c>
      <c r="E172" s="112" t="s">
        <v>817</v>
      </c>
      <c r="F172" s="112" t="s">
        <v>88</v>
      </c>
      <c r="G172" s="112" t="s">
        <v>371</v>
      </c>
      <c r="H172" s="112" t="s">
        <v>171</v>
      </c>
      <c r="I172" s="112" t="s">
        <v>172</v>
      </c>
      <c r="J172" s="112" t="s">
        <v>183</v>
      </c>
      <c r="K172" s="112" t="s">
        <v>172</v>
      </c>
      <c r="L172" s="112" t="s">
        <v>184</v>
      </c>
      <c r="M172" s="112" t="s">
        <v>176</v>
      </c>
      <c r="N172" s="112" t="s">
        <v>176</v>
      </c>
      <c r="O172" s="112" t="s">
        <v>184</v>
      </c>
      <c r="P172" s="112" t="s">
        <v>184</v>
      </c>
      <c r="Q172" s="112" t="s">
        <v>177</v>
      </c>
      <c r="R172" s="112">
        <v>48180</v>
      </c>
      <c r="S172" s="112">
        <v>73860</v>
      </c>
      <c r="T172" s="113">
        <v>4415.7</v>
      </c>
      <c r="U172" s="113">
        <v>4415.7</v>
      </c>
      <c r="V172" s="113">
        <v>0</v>
      </c>
      <c r="W172" s="113">
        <v>0</v>
      </c>
      <c r="X172" s="112"/>
      <c r="Y172" s="113"/>
      <c r="Z172" s="87" t="str">
        <f t="shared" si="12"/>
        <v>PARANAGUA/LAPA</v>
      </c>
      <c r="AA172" s="87">
        <f>IFERROR(_xlfn.XLOOKUP(Z172,Rotas!C:C,Rotas!D:D),"0")</f>
        <v>153</v>
      </c>
      <c r="AB172" s="88" t="str">
        <f t="shared" si="13"/>
        <v>BWT</v>
      </c>
      <c r="AC172" s="21" t="str" cm="1">
        <f t="array" ref="AC172">IFERROR(
INDEX(
_xlfn._xlws.FILTER(
BWT!$C$1:$C$100,
ISNUMBER(FIND(
SUBSTITUTE(BWT!$C$1:$C$100," ",""),
SUBSTITUTE(SUBSTITUTE(SUBSTITUTE(F172," ",""),"-",""),CHAR(160),"")
))
),
1
),
"")</f>
        <v>BDQ4E39</v>
      </c>
    </row>
    <row r="173" spans="1:29" hidden="1" x14ac:dyDescent="0.3">
      <c r="A173" s="112" t="s">
        <v>818</v>
      </c>
      <c r="B173" s="112" t="s">
        <v>165</v>
      </c>
      <c r="C173" s="112" t="s">
        <v>799</v>
      </c>
      <c r="D173" s="112" t="s">
        <v>819</v>
      </c>
      <c r="E173" s="112" t="s">
        <v>820</v>
      </c>
      <c r="F173" s="112" t="s">
        <v>86</v>
      </c>
      <c r="G173" s="112" t="s">
        <v>821</v>
      </c>
      <c r="H173" s="112" t="s">
        <v>171</v>
      </c>
      <c r="I173" s="112" t="s">
        <v>172</v>
      </c>
      <c r="J173" s="112" t="s">
        <v>173</v>
      </c>
      <c r="K173" s="112" t="s">
        <v>174</v>
      </c>
      <c r="L173" s="112" t="s">
        <v>175</v>
      </c>
      <c r="M173" s="112" t="s">
        <v>176</v>
      </c>
      <c r="N173" s="112" t="s">
        <v>176</v>
      </c>
      <c r="O173" s="112" t="s">
        <v>175</v>
      </c>
      <c r="P173" s="112" t="s">
        <v>175</v>
      </c>
      <c r="Q173" s="112" t="s">
        <v>177</v>
      </c>
      <c r="R173" s="112">
        <v>48250</v>
      </c>
      <c r="S173" s="112">
        <v>73850</v>
      </c>
      <c r="T173" s="113">
        <v>10808</v>
      </c>
      <c r="U173" s="113">
        <v>9223.5400000000009</v>
      </c>
      <c r="V173" s="113">
        <v>326.7</v>
      </c>
      <c r="W173" s="113">
        <v>1257.76</v>
      </c>
      <c r="X173" s="121">
        <v>0.12</v>
      </c>
      <c r="Y173" s="113">
        <v>10481.299999999999</v>
      </c>
      <c r="Z173" s="87" t="str">
        <f t="shared" si="12"/>
        <v>PARANAGUA/IJUI</v>
      </c>
      <c r="AA173" s="87">
        <f>IFERROR(_xlfn.XLOOKUP(Z173,Rotas!C:C,Rotas!D:D),"0")</f>
        <v>800</v>
      </c>
      <c r="AB173" s="88" t="str">
        <f t="shared" si="13"/>
        <v>BWT</v>
      </c>
      <c r="AC173" s="21" t="str" cm="1">
        <f t="array" ref="AC173">IFERROR(
INDEX(
_xlfn._xlws.FILTER(
BWT!$C$1:$C$100,
ISNUMBER(FIND(
SUBSTITUTE(BWT!$C$1:$C$100," ",""),
SUBSTITUTE(SUBSTITUTE(SUBSTITUTE(F173," ",""),"-",""),CHAR(160),"")
))
),
1
),
"")</f>
        <v>BDQ4E32</v>
      </c>
    </row>
    <row r="174" spans="1:29" hidden="1" x14ac:dyDescent="0.3">
      <c r="A174" s="112" t="s">
        <v>822</v>
      </c>
      <c r="B174" s="112" t="s">
        <v>165</v>
      </c>
      <c r="C174" s="112" t="s">
        <v>799</v>
      </c>
      <c r="D174" s="112" t="s">
        <v>823</v>
      </c>
      <c r="E174" s="112" t="s">
        <v>824</v>
      </c>
      <c r="F174" s="112" t="s">
        <v>85</v>
      </c>
      <c r="G174" s="112" t="s">
        <v>644</v>
      </c>
      <c r="H174" s="112" t="s">
        <v>171</v>
      </c>
      <c r="I174" s="112" t="s">
        <v>172</v>
      </c>
      <c r="J174" s="112" t="s">
        <v>183</v>
      </c>
      <c r="K174" s="112" t="s">
        <v>172</v>
      </c>
      <c r="L174" s="112" t="s">
        <v>184</v>
      </c>
      <c r="M174" s="112" t="s">
        <v>176</v>
      </c>
      <c r="N174" s="112" t="s">
        <v>176</v>
      </c>
      <c r="O174" s="112" t="s">
        <v>184</v>
      </c>
      <c r="P174" s="112" t="s">
        <v>184</v>
      </c>
      <c r="Q174" s="112" t="s">
        <v>177</v>
      </c>
      <c r="R174" s="112">
        <v>33097</v>
      </c>
      <c r="S174" s="112">
        <v>51497</v>
      </c>
      <c r="T174" s="113">
        <v>3399.06</v>
      </c>
      <c r="U174" s="113">
        <v>3399.06</v>
      </c>
      <c r="V174" s="113">
        <v>0</v>
      </c>
      <c r="W174" s="113">
        <v>0</v>
      </c>
      <c r="X174" s="112"/>
      <c r="Y174" s="113"/>
      <c r="Z174" s="87" t="str">
        <f t="shared" si="12"/>
        <v>PARANAGUA/LAPA</v>
      </c>
      <c r="AA174" s="87">
        <f>IFERROR(_xlfn.XLOOKUP(Z174,Rotas!C:C,Rotas!D:D),"0")</f>
        <v>153</v>
      </c>
      <c r="AB174" s="88" t="str">
        <f t="shared" si="13"/>
        <v>BWT</v>
      </c>
      <c r="AC174" s="21" t="str" cm="1">
        <f t="array" ref="AC174">IFERROR(
INDEX(
_xlfn._xlws.FILTER(
BWT!$C$1:$C$100,
ISNUMBER(FIND(
SUBSTITUTE(BWT!$C$1:$C$100," ",""),
SUBSTITUTE(SUBSTITUTE(SUBSTITUTE(F174," ",""),"-",""),CHAR(160),"")
))
),
1
),
"")</f>
        <v>BBL9D24</v>
      </c>
    </row>
    <row r="175" spans="1:29" hidden="1" x14ac:dyDescent="0.3">
      <c r="A175" s="112" t="s">
        <v>825</v>
      </c>
      <c r="B175" s="112" t="s">
        <v>165</v>
      </c>
      <c r="C175" s="112" t="s">
        <v>799</v>
      </c>
      <c r="D175" s="112" t="s">
        <v>826</v>
      </c>
      <c r="E175" s="112" t="s">
        <v>827</v>
      </c>
      <c r="F175" s="112" t="s">
        <v>239</v>
      </c>
      <c r="G175" s="112" t="s">
        <v>240</v>
      </c>
      <c r="H175" s="112" t="s">
        <v>324</v>
      </c>
      <c r="I175" s="112" t="s">
        <v>172</v>
      </c>
      <c r="J175" s="112" t="s">
        <v>242</v>
      </c>
      <c r="K175" s="112" t="s">
        <v>243</v>
      </c>
      <c r="L175" s="112" t="s">
        <v>244</v>
      </c>
      <c r="M175" s="112" t="s">
        <v>325</v>
      </c>
      <c r="N175" s="112" t="s">
        <v>325</v>
      </c>
      <c r="O175" s="112" t="s">
        <v>244</v>
      </c>
      <c r="P175" s="112" t="s">
        <v>244</v>
      </c>
      <c r="Q175" s="112" t="s">
        <v>219</v>
      </c>
      <c r="R175" s="112">
        <v>59574</v>
      </c>
      <c r="S175" s="112">
        <v>47000</v>
      </c>
      <c r="T175" s="113">
        <v>10134.35</v>
      </c>
      <c r="U175" s="113">
        <v>8918.23</v>
      </c>
      <c r="V175" s="113">
        <v>0</v>
      </c>
      <c r="W175" s="113">
        <v>1216.1199999999999</v>
      </c>
      <c r="X175" s="121">
        <v>0.12</v>
      </c>
      <c r="Y175" s="113">
        <v>10134.35</v>
      </c>
      <c r="Z175" s="87" t="str">
        <f t="shared" si="12"/>
        <v>SAO CARLOS DO IVAI/ITAJAI</v>
      </c>
      <c r="AA175" s="87">
        <f>IFERROR(_xlfn.XLOOKUP(Z175,Rotas!C:C,Rotas!D:D),"0")</f>
        <v>711</v>
      </c>
      <c r="AB175" s="88" t="str">
        <f t="shared" si="13"/>
        <v>BWT</v>
      </c>
      <c r="AC175" s="21" t="str" cm="1">
        <f t="array" ref="AC175">IFERROR(
INDEX(
_xlfn._xlws.FILTER(
BWT!$C$1:$C$100,
ISNUMBER(FIND(
SUBSTITUTE(BWT!$C$1:$C$100," ",""),
SUBSTITUTE(SUBSTITUTE(SUBSTITUTE(F175," ",""),"-",""),CHAR(160),"")
))
),
1
),
"")</f>
        <v>SEE3G48</v>
      </c>
    </row>
    <row r="176" spans="1:29" hidden="1" x14ac:dyDescent="0.3">
      <c r="A176" s="112" t="s">
        <v>828</v>
      </c>
      <c r="B176" s="112" t="s">
        <v>165</v>
      </c>
      <c r="C176" s="112" t="s">
        <v>799</v>
      </c>
      <c r="D176" s="112" t="s">
        <v>829</v>
      </c>
      <c r="E176" s="112" t="s">
        <v>830</v>
      </c>
      <c r="F176" s="112" t="s">
        <v>831</v>
      </c>
      <c r="G176" s="112" t="s">
        <v>832</v>
      </c>
      <c r="H176" s="112" t="s">
        <v>183</v>
      </c>
      <c r="I176" s="112" t="s">
        <v>172</v>
      </c>
      <c r="J176" s="112" t="s">
        <v>171</v>
      </c>
      <c r="K176" s="112" t="s">
        <v>172</v>
      </c>
      <c r="L176" s="112" t="s">
        <v>184</v>
      </c>
      <c r="M176" s="112" t="s">
        <v>184</v>
      </c>
      <c r="N176" s="112" t="s">
        <v>184</v>
      </c>
      <c r="O176" s="112" t="s">
        <v>655</v>
      </c>
      <c r="P176" s="112" t="s">
        <v>655</v>
      </c>
      <c r="Q176" s="112" t="s">
        <v>656</v>
      </c>
      <c r="R176" s="112">
        <v>26760</v>
      </c>
      <c r="S176" s="112">
        <v>26760</v>
      </c>
      <c r="T176" s="113">
        <v>2650</v>
      </c>
      <c r="U176" s="113">
        <v>2650</v>
      </c>
      <c r="V176" s="113">
        <v>0</v>
      </c>
      <c r="W176" s="113">
        <v>0</v>
      </c>
      <c r="X176" s="112"/>
      <c r="Y176" s="113"/>
      <c r="Z176" s="87" t="str">
        <f t="shared" si="12"/>
        <v>LAPA/PARANAGUA</v>
      </c>
      <c r="AA176" s="87">
        <f>IFERROR(_xlfn.XLOOKUP(Z176,Rotas!C:C,Rotas!D:D),"0")</f>
        <v>465</v>
      </c>
      <c r="AB176" s="88" t="str">
        <f t="shared" si="13"/>
        <v>SUBCONTRATADO</v>
      </c>
      <c r="AC176" s="21" cm="1">
        <f t="array" ref="AC176">IFERROR(
INDEX(
_xlfn._xlws.FILTER(
BWT!$C$1:$C$100,
ISNUMBER(FIND(
SUBSTITUTE(BWT!$C$1:$C$100," ",""),
SUBSTITUTE(SUBSTITUTE(SUBSTITUTE(F176," ",""),"-",""),CHAR(160),"")
))
),
1
),
"")</f>
        <v>0</v>
      </c>
    </row>
    <row r="177" spans="1:29" hidden="1" x14ac:dyDescent="0.3">
      <c r="A177" s="112" t="s">
        <v>833</v>
      </c>
      <c r="B177" s="112" t="s">
        <v>165</v>
      </c>
      <c r="C177" s="112" t="s">
        <v>799</v>
      </c>
      <c r="D177" s="112" t="s">
        <v>834</v>
      </c>
      <c r="E177" s="112" t="s">
        <v>835</v>
      </c>
      <c r="F177" s="112" t="s">
        <v>831</v>
      </c>
      <c r="G177" s="112" t="s">
        <v>832</v>
      </c>
      <c r="H177" s="112" t="s">
        <v>183</v>
      </c>
      <c r="I177" s="112" t="s">
        <v>172</v>
      </c>
      <c r="J177" s="112" t="s">
        <v>171</v>
      </c>
      <c r="K177" s="112" t="s">
        <v>172</v>
      </c>
      <c r="L177" s="112" t="s">
        <v>184</v>
      </c>
      <c r="M177" s="112" t="s">
        <v>184</v>
      </c>
      <c r="N177" s="112" t="s">
        <v>184</v>
      </c>
      <c r="O177" s="112" t="s">
        <v>655</v>
      </c>
      <c r="P177" s="112" t="s">
        <v>655</v>
      </c>
      <c r="Q177" s="112" t="s">
        <v>656</v>
      </c>
      <c r="R177" s="112">
        <v>26840</v>
      </c>
      <c r="S177" s="112">
        <v>26840</v>
      </c>
      <c r="T177" s="113">
        <v>2650</v>
      </c>
      <c r="U177" s="113">
        <v>2650</v>
      </c>
      <c r="V177" s="113">
        <v>0</v>
      </c>
      <c r="W177" s="113">
        <v>0</v>
      </c>
      <c r="X177" s="112"/>
      <c r="Y177" s="113"/>
      <c r="Z177" s="87" t="str">
        <f t="shared" si="12"/>
        <v>LAPA/PARANAGUA</v>
      </c>
      <c r="AA177" s="87">
        <f>IFERROR(_xlfn.XLOOKUP(Z177,Rotas!C:C,Rotas!D:D),"0")</f>
        <v>465</v>
      </c>
      <c r="AB177" s="88" t="str">
        <f t="shared" si="13"/>
        <v>SUBCONTRATADO</v>
      </c>
      <c r="AC177" s="21" cm="1">
        <f t="array" ref="AC177">IFERROR(
INDEX(
_xlfn._xlws.FILTER(
BWT!$C$1:$C$100,
ISNUMBER(FIND(
SUBSTITUTE(BWT!$C$1:$C$100," ",""),
SUBSTITUTE(SUBSTITUTE(SUBSTITUTE(F177," ",""),"-",""),CHAR(160),"")
))
),
1
),
"")</f>
        <v>0</v>
      </c>
    </row>
    <row r="178" spans="1:29" hidden="1" x14ac:dyDescent="0.3">
      <c r="A178" s="112" t="s">
        <v>836</v>
      </c>
      <c r="B178" s="112" t="s">
        <v>165</v>
      </c>
      <c r="C178" s="112" t="s">
        <v>799</v>
      </c>
      <c r="D178" s="112" t="s">
        <v>837</v>
      </c>
      <c r="E178" s="112" t="s">
        <v>838</v>
      </c>
      <c r="F178" s="112" t="s">
        <v>671</v>
      </c>
      <c r="G178" s="112" t="s">
        <v>672</v>
      </c>
      <c r="H178" s="112" t="s">
        <v>171</v>
      </c>
      <c r="I178" s="112" t="s">
        <v>172</v>
      </c>
      <c r="J178" s="112" t="s">
        <v>426</v>
      </c>
      <c r="K178" s="112" t="s">
        <v>243</v>
      </c>
      <c r="L178" s="112" t="s">
        <v>274</v>
      </c>
      <c r="M178" s="112" t="s">
        <v>274</v>
      </c>
      <c r="N178" s="112" t="s">
        <v>427</v>
      </c>
      <c r="O178" s="112" t="s">
        <v>428</v>
      </c>
      <c r="P178" s="112" t="s">
        <v>428</v>
      </c>
      <c r="Q178" s="112" t="s">
        <v>429</v>
      </c>
      <c r="R178" s="112">
        <v>44860</v>
      </c>
      <c r="S178" s="112">
        <v>44860</v>
      </c>
      <c r="T178" s="113">
        <v>6540.1</v>
      </c>
      <c r="U178" s="113">
        <v>5427.4</v>
      </c>
      <c r="V178" s="113">
        <v>372.6</v>
      </c>
      <c r="W178" s="113">
        <v>740.1</v>
      </c>
      <c r="X178" s="121">
        <v>0.12</v>
      </c>
      <c r="Y178" s="113">
        <v>6167.5</v>
      </c>
      <c r="Z178" s="87" t="str">
        <f t="shared" si="12"/>
        <v>PARANAGUA/MAFRA</v>
      </c>
      <c r="AA178" s="87">
        <f>IFERROR(_xlfn.XLOOKUP(Z178,Rotas!C:C,Rotas!D:D),"0")</f>
        <v>195</v>
      </c>
      <c r="AB178" s="88" t="str">
        <f t="shared" si="13"/>
        <v>BWT</v>
      </c>
      <c r="AC178" s="21" t="str" cm="1">
        <f t="array" ref="AC178">IFERROR(
INDEX(
_xlfn._xlws.FILTER(
BWT!$C$1:$C$100,
ISNUMBER(FIND(
SUBSTITUTE(BWT!$C$1:$C$100," ",""),
SUBSTITUTE(SUBSTITUTE(SUBSTITUTE(F178," ",""),"-",""),CHAR(160),"")
))
),
1
),
"")</f>
        <v>BEZ9A98</v>
      </c>
    </row>
    <row r="179" spans="1:29" hidden="1" x14ac:dyDescent="0.3">
      <c r="A179" s="112" t="s">
        <v>839</v>
      </c>
      <c r="B179" s="112" t="s">
        <v>165</v>
      </c>
      <c r="C179" s="112" t="s">
        <v>799</v>
      </c>
      <c r="D179" s="112" t="s">
        <v>840</v>
      </c>
      <c r="E179" s="112" t="s">
        <v>841</v>
      </c>
      <c r="F179" s="112" t="s">
        <v>208</v>
      </c>
      <c r="G179" s="112" t="s">
        <v>209</v>
      </c>
      <c r="H179" s="112" t="s">
        <v>171</v>
      </c>
      <c r="I179" s="112" t="s">
        <v>172</v>
      </c>
      <c r="J179" s="112" t="s">
        <v>183</v>
      </c>
      <c r="K179" s="112" t="s">
        <v>172</v>
      </c>
      <c r="L179" s="112" t="s">
        <v>184</v>
      </c>
      <c r="M179" s="112" t="s">
        <v>176</v>
      </c>
      <c r="N179" s="112" t="s">
        <v>176</v>
      </c>
      <c r="O179" s="112" t="s">
        <v>184</v>
      </c>
      <c r="P179" s="112" t="s">
        <v>184</v>
      </c>
      <c r="Q179" s="112" t="s">
        <v>177</v>
      </c>
      <c r="R179" s="112">
        <v>38940</v>
      </c>
      <c r="S179" s="112">
        <v>58320</v>
      </c>
      <c r="T179" s="113">
        <v>3999.14</v>
      </c>
      <c r="U179" s="113">
        <v>3999.14</v>
      </c>
      <c r="V179" s="113">
        <v>0</v>
      </c>
      <c r="W179" s="113">
        <v>0</v>
      </c>
      <c r="X179" s="112"/>
      <c r="Y179" s="113"/>
      <c r="Z179" s="87" t="str">
        <f t="shared" si="12"/>
        <v>PARANAGUA/LAPA</v>
      </c>
      <c r="AA179" s="87">
        <f>IFERROR(_xlfn.XLOOKUP(Z179,Rotas!C:C,Rotas!D:D),"0")</f>
        <v>153</v>
      </c>
      <c r="AB179" s="88" t="str">
        <f t="shared" si="13"/>
        <v>BWT</v>
      </c>
      <c r="AC179" s="21" t="str" cm="1">
        <f t="array" ref="AC179">IFERROR(
INDEX(
_xlfn._xlws.FILTER(
BWT!$C$1:$C$100,
ISNUMBER(FIND(
SUBSTITUTE(BWT!$C$1:$C$100," ",""),
SUBSTITUTE(SUBSTITUTE(SUBSTITUTE(F179," ",""),"-",""),CHAR(160),"")
))
),
1
),
"")</f>
        <v>AWZ2403</v>
      </c>
    </row>
    <row r="180" spans="1:29" x14ac:dyDescent="0.3">
      <c r="A180" s="112" t="s">
        <v>842</v>
      </c>
      <c r="B180" s="112" t="s">
        <v>469</v>
      </c>
      <c r="C180" s="112" t="s">
        <v>799</v>
      </c>
      <c r="D180" s="112" t="s">
        <v>843</v>
      </c>
      <c r="E180" s="112" t="s">
        <v>844</v>
      </c>
      <c r="F180" s="112" t="s">
        <v>329</v>
      </c>
      <c r="G180" s="112" t="s">
        <v>330</v>
      </c>
      <c r="H180" s="112" t="s">
        <v>474</v>
      </c>
      <c r="I180" s="112" t="s">
        <v>243</v>
      </c>
      <c r="J180" s="112" t="s">
        <v>347</v>
      </c>
      <c r="K180" s="112" t="s">
        <v>232</v>
      </c>
      <c r="L180" s="112" t="s">
        <v>348</v>
      </c>
      <c r="M180" s="112" t="s">
        <v>477</v>
      </c>
      <c r="N180" s="112" t="s">
        <v>477</v>
      </c>
      <c r="O180" s="112" t="s">
        <v>348</v>
      </c>
      <c r="P180" s="112" t="s">
        <v>348</v>
      </c>
      <c r="Q180" s="112" t="s">
        <v>246</v>
      </c>
      <c r="R180" s="112">
        <v>59591</v>
      </c>
      <c r="S180" s="112">
        <v>52260</v>
      </c>
      <c r="T180" s="113">
        <v>18531.61</v>
      </c>
      <c r="U180" s="113">
        <v>16307.82</v>
      </c>
      <c r="V180" s="113">
        <v>0</v>
      </c>
      <c r="W180" s="113">
        <v>2223.79</v>
      </c>
      <c r="X180" s="121">
        <v>0.12</v>
      </c>
      <c r="Y180" s="113">
        <v>18531.61</v>
      </c>
      <c r="Z180" s="87" t="str">
        <f t="shared" si="12"/>
        <v>JOACABA/SAO JOSE DOS CAMPOS</v>
      </c>
      <c r="AA180" s="87">
        <f>IFERROR(_xlfn.XLOOKUP(Z180,Rotas!C:C,Rotas!D:D),"0")</f>
        <v>896</v>
      </c>
      <c r="AB180" s="88" t="str">
        <f t="shared" si="13"/>
        <v>BWT</v>
      </c>
      <c r="AC180" s="21" t="str" cm="1">
        <f t="array" ref="AC180">IFERROR(
INDEX(
_xlfn._xlws.FILTER(
BWT!$C$1:$C$100,
ISNUMBER(FIND(
SUBSTITUTE(BWT!$C$1:$C$100," ",""),
SUBSTITUTE(SUBSTITUTE(SUBSTITUTE(F180," ",""),"-",""),CHAR(160),"")
))
),
1
),
"")</f>
        <v>SFC5F71</v>
      </c>
    </row>
    <row r="181" spans="1:29" hidden="1" x14ac:dyDescent="0.3">
      <c r="A181" s="112" t="s">
        <v>845</v>
      </c>
      <c r="B181" s="112" t="s">
        <v>236</v>
      </c>
      <c r="C181" s="112" t="s">
        <v>799</v>
      </c>
      <c r="D181" s="112" t="s">
        <v>596</v>
      </c>
      <c r="E181" s="112" t="s">
        <v>846</v>
      </c>
      <c r="F181" s="112" t="s">
        <v>602</v>
      </c>
      <c r="G181" s="112" t="s">
        <v>603</v>
      </c>
      <c r="H181" s="112" t="s">
        <v>580</v>
      </c>
      <c r="I181" s="112" t="s">
        <v>174</v>
      </c>
      <c r="J181" s="112" t="s">
        <v>734</v>
      </c>
      <c r="K181" s="112" t="s">
        <v>232</v>
      </c>
      <c r="L181" s="112" t="s">
        <v>217</v>
      </c>
      <c r="M181" s="112" t="s">
        <v>716</v>
      </c>
      <c r="N181" s="112" t="s">
        <v>716</v>
      </c>
      <c r="O181" s="112" t="s">
        <v>217</v>
      </c>
      <c r="P181" s="112" t="s">
        <v>217</v>
      </c>
      <c r="Q181" s="112" t="s">
        <v>246</v>
      </c>
      <c r="R181" s="112">
        <v>56718</v>
      </c>
      <c r="S181" s="112">
        <v>75860</v>
      </c>
      <c r="T181" s="113">
        <v>14575.89</v>
      </c>
      <c r="U181" s="113">
        <v>12826.78</v>
      </c>
      <c r="V181" s="113">
        <v>0</v>
      </c>
      <c r="W181" s="113">
        <v>1749.11</v>
      </c>
      <c r="X181" s="121">
        <v>0.12</v>
      </c>
      <c r="Y181" s="113">
        <v>14575.89</v>
      </c>
      <c r="Z181" s="87" t="str">
        <f t="shared" si="12"/>
        <v>PASSO FUNDO/BAURU</v>
      </c>
      <c r="AA181" s="87">
        <f>IFERROR(_xlfn.XLOOKUP(Z181,Rotas!C:C,Rotas!D:D),"0")</f>
        <v>933</v>
      </c>
      <c r="AB181" s="88" t="str">
        <f t="shared" si="13"/>
        <v>BWT</v>
      </c>
      <c r="AC181" s="21" t="str" cm="1">
        <f t="array" ref="AC181">IFERROR(
INDEX(
_xlfn._xlws.FILTER(
BWT!$C$1:$C$100,
ISNUMBER(FIND(
SUBSTITUTE(BWT!$C$1:$C$100," ",""),
SUBSTITUTE(SUBSTITUTE(SUBSTITUTE(F181," ",""),"-",""),CHAR(160),"")
))
),
1
),
"")</f>
        <v>RHH5C92</v>
      </c>
    </row>
    <row r="182" spans="1:29" x14ac:dyDescent="0.3">
      <c r="A182" s="112" t="s">
        <v>847</v>
      </c>
      <c r="B182" s="112" t="s">
        <v>236</v>
      </c>
      <c r="C182" s="112" t="s">
        <v>799</v>
      </c>
      <c r="D182" s="112" t="s">
        <v>600</v>
      </c>
      <c r="E182" s="112" t="s">
        <v>848</v>
      </c>
      <c r="F182" s="112" t="s">
        <v>849</v>
      </c>
      <c r="G182" s="112" t="s">
        <v>323</v>
      </c>
      <c r="H182" s="112" t="s">
        <v>173</v>
      </c>
      <c r="I182" s="112" t="s">
        <v>174</v>
      </c>
      <c r="J182" s="112" t="s">
        <v>850</v>
      </c>
      <c r="K182" s="112" t="s">
        <v>232</v>
      </c>
      <c r="L182" s="112" t="s">
        <v>851</v>
      </c>
      <c r="M182" s="112" t="s">
        <v>175</v>
      </c>
      <c r="N182" s="112" t="s">
        <v>175</v>
      </c>
      <c r="O182" s="112" t="s">
        <v>851</v>
      </c>
      <c r="P182" s="112" t="s">
        <v>851</v>
      </c>
      <c r="Q182" s="112" t="s">
        <v>246</v>
      </c>
      <c r="R182" s="112">
        <v>59544</v>
      </c>
      <c r="S182" s="112">
        <v>78040</v>
      </c>
      <c r="T182" s="113">
        <v>20840.400000000001</v>
      </c>
      <c r="U182" s="113">
        <v>18339.55</v>
      </c>
      <c r="V182" s="113">
        <v>0</v>
      </c>
      <c r="W182" s="113">
        <v>2500.85</v>
      </c>
      <c r="X182" s="121">
        <v>0.12</v>
      </c>
      <c r="Y182" s="113">
        <v>20840.400000000001</v>
      </c>
      <c r="Z182" s="87" t="str">
        <f t="shared" si="12"/>
        <v>IJUI/SAO PAULO</v>
      </c>
      <c r="AA182" s="87">
        <f>IFERROR(_xlfn.XLOOKUP(Z182,Rotas!C:C,Rotas!D:D),"0")</f>
        <v>1124</v>
      </c>
      <c r="AB182" s="88" t="str">
        <f t="shared" si="13"/>
        <v>BWT</v>
      </c>
      <c r="AC182" s="21" t="str" cm="1">
        <f t="array" ref="AC182">IFERROR(
INDEX(
_xlfn._xlws.FILTER(
BWT!$C$1:$C$100,
ISNUMBER(FIND(
SUBSTITUTE(BWT!$C$1:$C$100," ",""),
SUBSTITUTE(SUBSTITUTE(SUBSTITUTE(F182," ",""),"-",""),CHAR(160),"")
))
),
1
),
"")</f>
        <v>TAW2A61</v>
      </c>
    </row>
    <row r="183" spans="1:29" hidden="1" x14ac:dyDescent="0.3">
      <c r="A183" s="112" t="s">
        <v>852</v>
      </c>
      <c r="B183" s="112" t="s">
        <v>236</v>
      </c>
      <c r="C183" s="112" t="s">
        <v>799</v>
      </c>
      <c r="D183" s="112" t="s">
        <v>609</v>
      </c>
      <c r="E183" s="112" t="s">
        <v>853</v>
      </c>
      <c r="F183" s="112" t="s">
        <v>90</v>
      </c>
      <c r="G183" s="112" t="s">
        <v>648</v>
      </c>
      <c r="H183" s="112" t="s">
        <v>272</v>
      </c>
      <c r="I183" s="112" t="s">
        <v>174</v>
      </c>
      <c r="J183" s="112" t="s">
        <v>281</v>
      </c>
      <c r="K183" s="112" t="s">
        <v>232</v>
      </c>
      <c r="L183" s="112" t="s">
        <v>854</v>
      </c>
      <c r="M183" s="112" t="s">
        <v>273</v>
      </c>
      <c r="N183" s="112" t="s">
        <v>273</v>
      </c>
      <c r="O183" s="112" t="s">
        <v>854</v>
      </c>
      <c r="P183" s="112" t="s">
        <v>854</v>
      </c>
      <c r="Q183" s="112" t="s">
        <v>246</v>
      </c>
      <c r="R183" s="112">
        <v>56676</v>
      </c>
      <c r="S183" s="112">
        <v>75130</v>
      </c>
      <c r="T183" s="113">
        <v>14968.38</v>
      </c>
      <c r="U183" s="113">
        <v>13172.17</v>
      </c>
      <c r="V183" s="113">
        <v>0</v>
      </c>
      <c r="W183" s="113">
        <v>1796.21</v>
      </c>
      <c r="X183" s="121">
        <v>0.12</v>
      </c>
      <c r="Y183" s="113">
        <v>14968.38</v>
      </c>
      <c r="Z183" s="87" t="str">
        <f t="shared" si="12"/>
        <v>MUITOS CAPOES/PAULINIA</v>
      </c>
      <c r="AA183" s="87">
        <f>IFERROR(_xlfn.XLOOKUP(Z183,Rotas!C:C,Rotas!D:D),"0")</f>
        <v>1002</v>
      </c>
      <c r="AB183" s="88" t="str">
        <f t="shared" si="13"/>
        <v>BWT</v>
      </c>
      <c r="AC183" s="21" t="str" cm="1">
        <f t="array" ref="AC183">IFERROR(
INDEX(
_xlfn._xlws.FILTER(
BWT!$C$1:$C$100,
ISNUMBER(FIND(
SUBSTITUTE(BWT!$C$1:$C$100," ",""),
SUBSTITUTE(SUBSTITUTE(SUBSTITUTE(F183," ",""),"-",""),CHAR(160),"")
))
),
1
),
"")</f>
        <v>BDQ4E53</v>
      </c>
    </row>
    <row r="184" spans="1:29" x14ac:dyDescent="0.3">
      <c r="A184" s="112" t="s">
        <v>855</v>
      </c>
      <c r="B184" s="112" t="s">
        <v>236</v>
      </c>
      <c r="C184" s="112" t="s">
        <v>799</v>
      </c>
      <c r="D184" s="112" t="s">
        <v>612</v>
      </c>
      <c r="E184" s="112" t="s">
        <v>856</v>
      </c>
      <c r="F184" s="112" t="s">
        <v>229</v>
      </c>
      <c r="G184" s="112" t="s">
        <v>230</v>
      </c>
      <c r="H184" s="112" t="s">
        <v>173</v>
      </c>
      <c r="I184" s="112" t="s">
        <v>174</v>
      </c>
      <c r="J184" s="112" t="s">
        <v>850</v>
      </c>
      <c r="K184" s="112" t="s">
        <v>232</v>
      </c>
      <c r="L184" s="112" t="s">
        <v>851</v>
      </c>
      <c r="M184" s="112" t="s">
        <v>175</v>
      </c>
      <c r="N184" s="112" t="s">
        <v>175</v>
      </c>
      <c r="O184" s="112" t="s">
        <v>851</v>
      </c>
      <c r="P184" s="112" t="s">
        <v>851</v>
      </c>
      <c r="Q184" s="112" t="s">
        <v>246</v>
      </c>
      <c r="R184" s="112">
        <v>59526</v>
      </c>
      <c r="S184" s="112">
        <v>77920</v>
      </c>
      <c r="T184" s="113">
        <v>20834.099999999999</v>
      </c>
      <c r="U184" s="113">
        <v>18334.009999999998</v>
      </c>
      <c r="V184" s="113">
        <v>0</v>
      </c>
      <c r="W184" s="113">
        <v>2500.09</v>
      </c>
      <c r="X184" s="121">
        <v>0.12</v>
      </c>
      <c r="Y184" s="113">
        <v>20834.099999999999</v>
      </c>
      <c r="Z184" s="87" t="str">
        <f t="shared" si="12"/>
        <v>IJUI/SAO PAULO</v>
      </c>
      <c r="AA184" s="87">
        <f>IFERROR(_xlfn.XLOOKUP(Z184,Rotas!C:C,Rotas!D:D),"0")</f>
        <v>1124</v>
      </c>
      <c r="AB184" s="88" t="str">
        <f t="shared" si="13"/>
        <v>BWT</v>
      </c>
      <c r="AC184" s="21" t="str" cm="1">
        <f t="array" ref="AC184">IFERROR(
INDEX(
_xlfn._xlws.FILTER(
BWT!$C$1:$C$100,
ISNUMBER(FIND(
SUBSTITUTE(BWT!$C$1:$C$100," ",""),
SUBSTITUTE(SUBSTITUTE(SUBSTITUTE(F184," ",""),"-",""),CHAR(160),"")
))
),
1
),
"")</f>
        <v>SEE0I38</v>
      </c>
    </row>
    <row r="185" spans="1:29" hidden="1" x14ac:dyDescent="0.3">
      <c r="A185" s="112" t="s">
        <v>857</v>
      </c>
      <c r="B185" s="112" t="s">
        <v>226</v>
      </c>
      <c r="C185" s="112" t="s">
        <v>858</v>
      </c>
      <c r="D185" s="112" t="s">
        <v>859</v>
      </c>
      <c r="E185" s="112" t="s">
        <v>860</v>
      </c>
      <c r="F185" s="112" t="s">
        <v>861</v>
      </c>
      <c r="G185" s="112" t="s">
        <v>681</v>
      </c>
      <c r="H185" s="112" t="s">
        <v>280</v>
      </c>
      <c r="I185" s="112" t="s">
        <v>232</v>
      </c>
      <c r="J185" s="112" t="s">
        <v>281</v>
      </c>
      <c r="K185" s="112" t="s">
        <v>232</v>
      </c>
      <c r="L185" s="112" t="s">
        <v>254</v>
      </c>
      <c r="M185" s="112" t="s">
        <v>254</v>
      </c>
      <c r="N185" s="112" t="s">
        <v>598</v>
      </c>
      <c r="O185" s="112" t="s">
        <v>217</v>
      </c>
      <c r="P185" s="112" t="s">
        <v>217</v>
      </c>
      <c r="Q185" s="112" t="s">
        <v>283</v>
      </c>
      <c r="R185" s="112">
        <v>60336</v>
      </c>
      <c r="S185" s="112">
        <v>43430</v>
      </c>
      <c r="T185" s="113">
        <v>3149.82</v>
      </c>
      <c r="U185" s="113">
        <v>2771.84</v>
      </c>
      <c r="V185" s="113">
        <v>0</v>
      </c>
      <c r="W185" s="113">
        <v>377.98</v>
      </c>
      <c r="X185" s="121">
        <v>0.12</v>
      </c>
      <c r="Y185" s="113">
        <v>3149.82</v>
      </c>
      <c r="Z185" s="87" t="str">
        <f t="shared" si="12"/>
        <v>SANTOS/PAULINIA</v>
      </c>
      <c r="AA185" s="87">
        <f>IFERROR(_xlfn.XLOOKUP(Z185,Rotas!C:C,Rotas!D:D),"0")</f>
        <v>215</v>
      </c>
      <c r="AB185" s="88" t="str">
        <f t="shared" si="13"/>
        <v>BWT</v>
      </c>
      <c r="AC185" s="21" t="str" cm="1">
        <f t="array" ref="AC185">IFERROR(
INDEX(
_xlfn._xlws.FILTER(
BWT!$C$1:$C$100,
ISNUMBER(FIND(
SUBSTITUTE(BWT!$C$1:$C$100," ",""),
SUBSTITUTE(SUBSTITUTE(SUBSTITUTE(F185," ",""),"-",""),CHAR(160),"")
))
),
1
),
"")</f>
        <v>TAW2A65</v>
      </c>
    </row>
    <row r="186" spans="1:29" hidden="1" x14ac:dyDescent="0.3">
      <c r="A186" s="112" t="s">
        <v>862</v>
      </c>
      <c r="B186" s="112" t="s">
        <v>226</v>
      </c>
      <c r="C186" s="112" t="s">
        <v>858</v>
      </c>
      <c r="D186" s="112" t="s">
        <v>863</v>
      </c>
      <c r="E186" s="112" t="s">
        <v>864</v>
      </c>
      <c r="F186" s="112" t="s">
        <v>287</v>
      </c>
      <c r="G186" s="112" t="s">
        <v>288</v>
      </c>
      <c r="H186" s="112" t="s">
        <v>280</v>
      </c>
      <c r="I186" s="112" t="s">
        <v>232</v>
      </c>
      <c r="J186" s="112" t="s">
        <v>281</v>
      </c>
      <c r="K186" s="112" t="s">
        <v>232</v>
      </c>
      <c r="L186" s="112" t="s">
        <v>254</v>
      </c>
      <c r="M186" s="112" t="s">
        <v>254</v>
      </c>
      <c r="N186" s="112" t="s">
        <v>598</v>
      </c>
      <c r="O186" s="112" t="s">
        <v>217</v>
      </c>
      <c r="P186" s="112" t="s">
        <v>217</v>
      </c>
      <c r="Q186" s="112" t="s">
        <v>283</v>
      </c>
      <c r="R186" s="112">
        <v>59308</v>
      </c>
      <c r="S186" s="112">
        <v>42690</v>
      </c>
      <c r="T186" s="113">
        <v>3150.07</v>
      </c>
      <c r="U186" s="113">
        <v>2772.06</v>
      </c>
      <c r="V186" s="113">
        <v>0</v>
      </c>
      <c r="W186" s="113">
        <v>378.01</v>
      </c>
      <c r="X186" s="121">
        <v>0.12</v>
      </c>
      <c r="Y186" s="113">
        <v>3150.07</v>
      </c>
      <c r="Z186" s="89" t="str">
        <f t="shared" si="12"/>
        <v>SANTOS/PAULINIA</v>
      </c>
      <c r="AA186" s="89">
        <f>IFERROR(_xlfn.XLOOKUP(Z186,Rotas!C:C,Rotas!D:D),"0")</f>
        <v>215</v>
      </c>
      <c r="AB186" s="97" t="str">
        <f t="shared" si="13"/>
        <v>BWT</v>
      </c>
      <c r="AC186" s="21" t="str" cm="1">
        <f t="array" ref="AC186">IFERROR(
INDEX(
_xlfn._xlws.FILTER(
BWT!$C$1:$C$100,
ISNUMBER(FIND(
SUBSTITUTE(BWT!$C$1:$C$100," ",""),
SUBSTITUTE(SUBSTITUTE(SUBSTITUTE(F186," ",""),"-",""),CHAR(160),"")
))
),
1
),
"")</f>
        <v>SEE2J92</v>
      </c>
    </row>
    <row r="187" spans="1:29" hidden="1" x14ac:dyDescent="0.3">
      <c r="A187" s="112" t="s">
        <v>865</v>
      </c>
      <c r="B187" s="112" t="s">
        <v>226</v>
      </c>
      <c r="C187" s="112" t="s">
        <v>858</v>
      </c>
      <c r="D187" s="112" t="s">
        <v>866</v>
      </c>
      <c r="E187" s="112" t="s">
        <v>867</v>
      </c>
      <c r="F187" s="112" t="s">
        <v>297</v>
      </c>
      <c r="G187" s="112" t="s">
        <v>298</v>
      </c>
      <c r="H187" s="112" t="s">
        <v>280</v>
      </c>
      <c r="I187" s="112" t="s">
        <v>232</v>
      </c>
      <c r="J187" s="112" t="s">
        <v>281</v>
      </c>
      <c r="K187" s="112" t="s">
        <v>232</v>
      </c>
      <c r="L187" s="112" t="s">
        <v>254</v>
      </c>
      <c r="M187" s="112" t="s">
        <v>254</v>
      </c>
      <c r="N187" s="112" t="s">
        <v>598</v>
      </c>
      <c r="O187" s="112" t="s">
        <v>217</v>
      </c>
      <c r="P187" s="112" t="s">
        <v>217</v>
      </c>
      <c r="Q187" s="112" t="s">
        <v>283</v>
      </c>
      <c r="R187" s="112">
        <v>61323</v>
      </c>
      <c r="S187" s="112">
        <v>44140</v>
      </c>
      <c r="T187" s="113">
        <v>3149.77</v>
      </c>
      <c r="U187" s="113">
        <v>2771.8</v>
      </c>
      <c r="V187" s="113">
        <v>0</v>
      </c>
      <c r="W187" s="113">
        <v>377.97</v>
      </c>
      <c r="X187" s="121">
        <v>0.12</v>
      </c>
      <c r="Y187" s="113">
        <v>3149.77</v>
      </c>
      <c r="Z187" s="87" t="str">
        <f t="shared" ref="Z187:Z204" si="14">IF(H187&amp;J187="","CT-e COMPLEMENTAR",H187&amp;"/"&amp;J187)</f>
        <v>SANTOS/PAULINIA</v>
      </c>
      <c r="AA187" s="87">
        <f>IFERROR(_xlfn.XLOOKUP(Z187,Rotas!C:C,Rotas!D:D),"0")</f>
        <v>215</v>
      </c>
      <c r="AB187" s="88" t="str">
        <f t="shared" ref="AB187:AB204" si="15">IF(AC187=0,"SUBCONTRATADO","BWT")</f>
        <v>BWT</v>
      </c>
      <c r="AC187" s="21" t="str" cm="1">
        <f t="array" ref="AC187">IFERROR(
INDEX(
_xlfn._xlws.FILTER(
BWT!$C$1:$C$100,
ISNUMBER(FIND(
SUBSTITUTE(BWT!$C$1:$C$100," ",""),
SUBSTITUTE(SUBSTITUTE(SUBSTITUTE(F187," ",""),"-",""),CHAR(160),"")
))
),
1
),
"")</f>
        <v>SEX2C73</v>
      </c>
    </row>
    <row r="188" spans="1:29" hidden="1" x14ac:dyDescent="0.3">
      <c r="A188" s="112" t="s">
        <v>868</v>
      </c>
      <c r="B188" s="112" t="s">
        <v>226</v>
      </c>
      <c r="C188" s="112" t="s">
        <v>858</v>
      </c>
      <c r="D188" s="112" t="s">
        <v>869</v>
      </c>
      <c r="E188" s="112" t="s">
        <v>870</v>
      </c>
      <c r="F188" s="112" t="s">
        <v>345</v>
      </c>
      <c r="G188" s="112" t="s">
        <v>346</v>
      </c>
      <c r="H188" s="112" t="s">
        <v>871</v>
      </c>
      <c r="I188" s="112" t="s">
        <v>232</v>
      </c>
      <c r="J188" s="112" t="s">
        <v>216</v>
      </c>
      <c r="K188" s="112" t="s">
        <v>174</v>
      </c>
      <c r="L188" s="112" t="s">
        <v>217</v>
      </c>
      <c r="M188" s="112" t="s">
        <v>872</v>
      </c>
      <c r="N188" s="112" t="s">
        <v>872</v>
      </c>
      <c r="O188" s="112" t="s">
        <v>217</v>
      </c>
      <c r="P188" s="112" t="s">
        <v>217</v>
      </c>
      <c r="Q188" s="112" t="s">
        <v>219</v>
      </c>
      <c r="R188" s="112">
        <v>59399</v>
      </c>
      <c r="S188" s="112">
        <v>46930</v>
      </c>
      <c r="T188" s="113">
        <v>16617.55</v>
      </c>
      <c r="U188" s="113">
        <v>14623.44</v>
      </c>
      <c r="V188" s="113">
        <v>0</v>
      </c>
      <c r="W188" s="113">
        <v>1994.11</v>
      </c>
      <c r="X188" s="121">
        <v>0.12</v>
      </c>
      <c r="Y188" s="113">
        <v>16617.55</v>
      </c>
      <c r="Z188" s="87" t="str">
        <f t="shared" si="14"/>
        <v>NARANDIBA/CANOAS</v>
      </c>
      <c r="AA188" s="87">
        <f>IFERROR(_xlfn.XLOOKUP(Z188,Rotas!C:C,Rotas!D:D),"0")</f>
        <v>1253</v>
      </c>
      <c r="AB188" s="88" t="str">
        <f t="shared" si="15"/>
        <v>BWT</v>
      </c>
      <c r="AC188" s="21" t="str" cm="1">
        <f t="array" ref="AC188">IFERROR(
INDEX(
_xlfn._xlws.FILTER(
BWT!$C$1:$C$100,
ISNUMBER(FIND(
SUBSTITUTE(BWT!$C$1:$C$100," ",""),
SUBSTITUTE(SUBSTITUTE(SUBSTITUTE(F188," ",""),"-",""),CHAR(160),"")
))
),
1
),
"")</f>
        <v>RHG5D74</v>
      </c>
    </row>
    <row r="189" spans="1:29" hidden="1" x14ac:dyDescent="0.3">
      <c r="A189" s="112" t="s">
        <v>873</v>
      </c>
      <c r="B189" s="112" t="s">
        <v>226</v>
      </c>
      <c r="C189" s="112" t="s">
        <v>858</v>
      </c>
      <c r="D189" s="112" t="s">
        <v>874</v>
      </c>
      <c r="E189" s="112" t="s">
        <v>875</v>
      </c>
      <c r="F189" s="112" t="s">
        <v>505</v>
      </c>
      <c r="G189" s="112" t="s">
        <v>293</v>
      </c>
      <c r="H189" s="112" t="s">
        <v>280</v>
      </c>
      <c r="I189" s="112" t="s">
        <v>232</v>
      </c>
      <c r="J189" s="112" t="s">
        <v>876</v>
      </c>
      <c r="K189" s="112" t="s">
        <v>232</v>
      </c>
      <c r="L189" s="112" t="s">
        <v>254</v>
      </c>
      <c r="M189" s="112" t="s">
        <v>282</v>
      </c>
      <c r="N189" s="112" t="s">
        <v>254</v>
      </c>
      <c r="O189" s="112" t="s">
        <v>217</v>
      </c>
      <c r="P189" s="112" t="s">
        <v>217</v>
      </c>
      <c r="Q189" s="112" t="s">
        <v>488</v>
      </c>
      <c r="R189" s="112">
        <v>59652</v>
      </c>
      <c r="S189" s="112">
        <v>49380</v>
      </c>
      <c r="T189" s="113">
        <v>12201.55</v>
      </c>
      <c r="U189" s="113">
        <v>10737.36</v>
      </c>
      <c r="V189" s="113">
        <v>0</v>
      </c>
      <c r="W189" s="113">
        <v>1464.19</v>
      </c>
      <c r="X189" s="121">
        <v>0.12</v>
      </c>
      <c r="Y189" s="113">
        <v>12201.55</v>
      </c>
      <c r="Z189" s="87" t="str">
        <f t="shared" si="14"/>
        <v>SANTOS/PRESIDENTE PRUDENTE</v>
      </c>
      <c r="AA189" s="87">
        <f>IFERROR(_xlfn.XLOOKUP(Z189,Rotas!C:C,Rotas!D:D),"0")</f>
        <v>641</v>
      </c>
      <c r="AB189" s="88" t="str">
        <f t="shared" si="15"/>
        <v>BWT</v>
      </c>
      <c r="AC189" s="21" t="str" cm="1">
        <f t="array" ref="AC189">IFERROR(
INDEX(
_xlfn._xlws.FILTER(
BWT!$C$1:$C$100,
ISNUMBER(FIND(
SUBSTITUTE(BWT!$C$1:$C$100," ",""),
SUBSTITUTE(SUBSTITUTE(SUBSTITUTE(F189," ",""),"-",""),CHAR(160),"")
))
),
1
),
"")</f>
        <v>TAW8C09</v>
      </c>
    </row>
    <row r="190" spans="1:29" hidden="1" x14ac:dyDescent="0.3">
      <c r="A190" s="112" t="s">
        <v>922</v>
      </c>
      <c r="B190" s="112" t="s">
        <v>165</v>
      </c>
      <c r="C190" s="112" t="s">
        <v>858</v>
      </c>
      <c r="D190" s="112" t="s">
        <v>923</v>
      </c>
      <c r="E190" s="112" t="s">
        <v>924</v>
      </c>
      <c r="F190" s="112" t="s">
        <v>181</v>
      </c>
      <c r="G190" s="112" t="s">
        <v>182</v>
      </c>
      <c r="H190" s="112" t="s">
        <v>171</v>
      </c>
      <c r="I190" s="112" t="s">
        <v>172</v>
      </c>
      <c r="J190" s="112" t="s">
        <v>183</v>
      </c>
      <c r="K190" s="112" t="s">
        <v>172</v>
      </c>
      <c r="L190" s="112" t="s">
        <v>184</v>
      </c>
      <c r="M190" s="112" t="s">
        <v>176</v>
      </c>
      <c r="N190" s="112" t="s">
        <v>176</v>
      </c>
      <c r="O190" s="112" t="s">
        <v>184</v>
      </c>
      <c r="P190" s="112" t="s">
        <v>184</v>
      </c>
      <c r="Q190" s="112" t="s">
        <v>177</v>
      </c>
      <c r="R190" s="112">
        <v>37880</v>
      </c>
      <c r="S190" s="112">
        <v>58320</v>
      </c>
      <c r="T190" s="113">
        <v>3890.28</v>
      </c>
      <c r="U190" s="113">
        <v>3890.28</v>
      </c>
      <c r="V190" s="113">
        <v>0</v>
      </c>
      <c r="W190" s="113">
        <v>0</v>
      </c>
      <c r="X190" s="112"/>
      <c r="Y190" s="113"/>
      <c r="Z190" s="87" t="str">
        <f t="shared" si="14"/>
        <v>PARANAGUA/LAPA</v>
      </c>
      <c r="AA190" s="87">
        <f>IFERROR(_xlfn.XLOOKUP(Z190,Rotas!C:C,Rotas!D:D),"0")</f>
        <v>153</v>
      </c>
      <c r="AB190" s="88" t="str">
        <f t="shared" si="15"/>
        <v>BWT</v>
      </c>
      <c r="AC190" s="21" t="str" cm="1">
        <f t="array" ref="AC190">IFERROR(
INDEX(
_xlfn._xlws.FILTER(
BWT!$C$1:$C$100,
ISNUMBER(FIND(
SUBSTITUTE(BWT!$C$1:$C$100," ",""),
SUBSTITUTE(SUBSTITUTE(SUBSTITUTE(F190," ",""),"-",""),CHAR(160),"")
))
),
1
),
"")</f>
        <v>BDF9C15</v>
      </c>
    </row>
    <row r="191" spans="1:29" hidden="1" x14ac:dyDescent="0.3">
      <c r="A191" s="112" t="s">
        <v>925</v>
      </c>
      <c r="B191" s="112" t="s">
        <v>165</v>
      </c>
      <c r="C191" s="112" t="s">
        <v>858</v>
      </c>
      <c r="D191" s="112" t="s">
        <v>926</v>
      </c>
      <c r="E191" s="112" t="s">
        <v>927</v>
      </c>
      <c r="F191" s="112" t="s">
        <v>492</v>
      </c>
      <c r="G191" s="112" t="s">
        <v>493</v>
      </c>
      <c r="H191" s="112" t="s">
        <v>171</v>
      </c>
      <c r="I191" s="112" t="s">
        <v>172</v>
      </c>
      <c r="J191" s="112" t="s">
        <v>272</v>
      </c>
      <c r="K191" s="112" t="s">
        <v>174</v>
      </c>
      <c r="L191" s="112" t="s">
        <v>273</v>
      </c>
      <c r="M191" s="112" t="s">
        <v>649</v>
      </c>
      <c r="N191" s="112" t="s">
        <v>176</v>
      </c>
      <c r="O191" s="112" t="s">
        <v>273</v>
      </c>
      <c r="P191" s="112" t="s">
        <v>273</v>
      </c>
      <c r="Q191" s="112" t="s">
        <v>177</v>
      </c>
      <c r="R191" s="112">
        <v>48302</v>
      </c>
      <c r="S191" s="112">
        <v>48302</v>
      </c>
      <c r="T191" s="113">
        <v>10384.93</v>
      </c>
      <c r="U191" s="113">
        <v>8604.14</v>
      </c>
      <c r="V191" s="113">
        <v>607.5</v>
      </c>
      <c r="W191" s="113">
        <v>1173.29</v>
      </c>
      <c r="X191" s="121">
        <v>0.12</v>
      </c>
      <c r="Y191" s="113">
        <v>9777.43</v>
      </c>
      <c r="Z191" s="87" t="str">
        <f t="shared" si="14"/>
        <v>PARANAGUA/MUITOS CAPOES</v>
      </c>
      <c r="AA191" s="87">
        <f>IFERROR(_xlfn.XLOOKUP(Z191,Rotas!C:C,Rotas!D:D),"0")</f>
        <v>581</v>
      </c>
      <c r="AB191" s="88" t="str">
        <f t="shared" si="15"/>
        <v>BWT</v>
      </c>
      <c r="AC191" s="21" t="str" cm="1">
        <f t="array" ref="AC191">IFERROR(
INDEX(
_xlfn._xlws.FILTER(
BWT!$C$1:$C$100,
ISNUMBER(FIND(
SUBSTITUTE(BWT!$C$1:$C$100," ",""),
SUBSTITUTE(SUBSTITUTE(SUBSTITUTE(F191," ",""),"-",""),CHAR(160),"")
))
),
1
),
"")</f>
        <v>TAW8B80</v>
      </c>
    </row>
    <row r="192" spans="1:29" hidden="1" x14ac:dyDescent="0.3">
      <c r="A192" s="112" t="s">
        <v>928</v>
      </c>
      <c r="B192" s="112" t="s">
        <v>165</v>
      </c>
      <c r="C192" s="112" t="s">
        <v>858</v>
      </c>
      <c r="D192" s="112" t="s">
        <v>929</v>
      </c>
      <c r="E192" s="112" t="s">
        <v>930</v>
      </c>
      <c r="F192" s="112" t="s">
        <v>88</v>
      </c>
      <c r="G192" s="112" t="s">
        <v>371</v>
      </c>
      <c r="H192" s="112" t="s">
        <v>171</v>
      </c>
      <c r="I192" s="112" t="s">
        <v>172</v>
      </c>
      <c r="J192" s="112" t="s">
        <v>183</v>
      </c>
      <c r="K192" s="112" t="s">
        <v>172</v>
      </c>
      <c r="L192" s="112" t="s">
        <v>184</v>
      </c>
      <c r="M192" s="112" t="s">
        <v>176</v>
      </c>
      <c r="N192" s="112" t="s">
        <v>176</v>
      </c>
      <c r="O192" s="112" t="s">
        <v>184</v>
      </c>
      <c r="P192" s="112" t="s">
        <v>184</v>
      </c>
      <c r="Q192" s="112" t="s">
        <v>177</v>
      </c>
      <c r="R192" s="112">
        <v>48220</v>
      </c>
      <c r="S192" s="112">
        <v>73720</v>
      </c>
      <c r="T192" s="113">
        <v>4419.3599999999997</v>
      </c>
      <c r="U192" s="113">
        <v>4419.3599999999997</v>
      </c>
      <c r="V192" s="113">
        <v>0</v>
      </c>
      <c r="W192" s="113">
        <v>0</v>
      </c>
      <c r="X192" s="112"/>
      <c r="Y192" s="113"/>
      <c r="Z192" s="87" t="str">
        <f t="shared" si="14"/>
        <v>PARANAGUA/LAPA</v>
      </c>
      <c r="AA192" s="87">
        <f>IFERROR(_xlfn.XLOOKUP(Z192,Rotas!C:C,Rotas!D:D),"0")</f>
        <v>153</v>
      </c>
      <c r="AB192" s="88" t="str">
        <f t="shared" si="15"/>
        <v>BWT</v>
      </c>
      <c r="AC192" s="21" t="str" cm="1">
        <f t="array" ref="AC192">IFERROR(
INDEX(
_xlfn._xlws.FILTER(
BWT!$C$1:$C$100,
ISNUMBER(FIND(
SUBSTITUTE(BWT!$C$1:$C$100," ",""),
SUBSTITUTE(SUBSTITUTE(SUBSTITUTE(F192," ",""),"-",""),CHAR(160),"")
))
),
1
),
"")</f>
        <v>BDQ4E39</v>
      </c>
    </row>
    <row r="193" spans="1:29" hidden="1" x14ac:dyDescent="0.3">
      <c r="A193" s="112" t="s">
        <v>931</v>
      </c>
      <c r="B193" s="112" t="s">
        <v>165</v>
      </c>
      <c r="C193" s="112" t="s">
        <v>858</v>
      </c>
      <c r="D193" s="112" t="s">
        <v>932</v>
      </c>
      <c r="E193" s="112" t="s">
        <v>933</v>
      </c>
      <c r="F193" s="112" t="s">
        <v>89</v>
      </c>
      <c r="G193" s="112" t="s">
        <v>268</v>
      </c>
      <c r="H193" s="112" t="s">
        <v>171</v>
      </c>
      <c r="I193" s="112" t="s">
        <v>172</v>
      </c>
      <c r="J193" s="112" t="s">
        <v>183</v>
      </c>
      <c r="K193" s="112" t="s">
        <v>172</v>
      </c>
      <c r="L193" s="112" t="s">
        <v>184</v>
      </c>
      <c r="M193" s="112" t="s">
        <v>176</v>
      </c>
      <c r="N193" s="112" t="s">
        <v>176</v>
      </c>
      <c r="O193" s="112" t="s">
        <v>184</v>
      </c>
      <c r="P193" s="112" t="s">
        <v>184</v>
      </c>
      <c r="Q193" s="112" t="s">
        <v>177</v>
      </c>
      <c r="R193" s="112">
        <v>38240</v>
      </c>
      <c r="S193" s="112">
        <v>58320</v>
      </c>
      <c r="T193" s="113">
        <v>3927.25</v>
      </c>
      <c r="U193" s="113">
        <v>3927.25</v>
      </c>
      <c r="V193" s="113">
        <v>0</v>
      </c>
      <c r="W193" s="113">
        <v>0</v>
      </c>
      <c r="X193" s="112"/>
      <c r="Y193" s="113"/>
      <c r="Z193" s="87" t="str">
        <f t="shared" si="14"/>
        <v>PARANAGUA/LAPA</v>
      </c>
      <c r="AA193" s="87">
        <f>IFERROR(_xlfn.XLOOKUP(Z193,Rotas!C:C,Rotas!D:D),"0")</f>
        <v>153</v>
      </c>
      <c r="AB193" s="88" t="str">
        <f t="shared" si="15"/>
        <v>BWT</v>
      </c>
      <c r="AC193" s="21" t="str" cm="1">
        <f t="array" ref="AC193">IFERROR(
INDEX(
_xlfn._xlws.FILTER(
BWT!$C$1:$C$100,
ISNUMBER(FIND(
SUBSTITUTE(BWT!$C$1:$C$100," ",""),
SUBSTITUTE(SUBSTITUTE(SUBSTITUTE(F193," ",""),"-",""),CHAR(160),"")
))
),
1
),
"")</f>
        <v>BBM5I48</v>
      </c>
    </row>
    <row r="194" spans="1:29" hidden="1" x14ac:dyDescent="0.3">
      <c r="A194" s="112" t="s">
        <v>934</v>
      </c>
      <c r="B194" s="112" t="s">
        <v>165</v>
      </c>
      <c r="C194" s="112" t="s">
        <v>858</v>
      </c>
      <c r="D194" s="112" t="s">
        <v>935</v>
      </c>
      <c r="E194" s="112" t="s">
        <v>936</v>
      </c>
      <c r="F194" s="112" t="s">
        <v>663</v>
      </c>
      <c r="G194" s="112" t="s">
        <v>467</v>
      </c>
      <c r="H194" s="112" t="s">
        <v>183</v>
      </c>
      <c r="I194" s="112" t="s">
        <v>172</v>
      </c>
      <c r="J194" s="112" t="s">
        <v>171</v>
      </c>
      <c r="K194" s="112" t="s">
        <v>172</v>
      </c>
      <c r="L194" s="112" t="s">
        <v>184</v>
      </c>
      <c r="M194" s="112" t="s">
        <v>184</v>
      </c>
      <c r="N194" s="112" t="s">
        <v>184</v>
      </c>
      <c r="O194" s="112" t="s">
        <v>655</v>
      </c>
      <c r="P194" s="112" t="s">
        <v>655</v>
      </c>
      <c r="Q194" s="112" t="s">
        <v>656</v>
      </c>
      <c r="R194" s="112">
        <v>26770</v>
      </c>
      <c r="S194" s="112">
        <v>26770</v>
      </c>
      <c r="T194" s="113">
        <v>2650</v>
      </c>
      <c r="U194" s="113">
        <v>2650</v>
      </c>
      <c r="V194" s="113">
        <v>0</v>
      </c>
      <c r="W194" s="113">
        <v>0</v>
      </c>
      <c r="X194" s="112"/>
      <c r="Y194" s="113"/>
      <c r="Z194" s="87" t="str">
        <f t="shared" si="14"/>
        <v>LAPA/PARANAGUA</v>
      </c>
      <c r="AA194" s="87">
        <f>IFERROR(_xlfn.XLOOKUP(Z194,Rotas!C:C,Rotas!D:D),"0")</f>
        <v>465</v>
      </c>
      <c r="AB194" s="88" t="str">
        <f t="shared" si="15"/>
        <v>BWT</v>
      </c>
      <c r="AC194" s="21" t="str" cm="1">
        <f t="array" ref="AC194">IFERROR(
INDEX(
_xlfn._xlws.FILTER(
BWT!$C$1:$C$100,
ISNUMBER(FIND(
SUBSTITUTE(BWT!$C$1:$C$100," ",""),
SUBSTITUTE(SUBSTITUTE(SUBSTITUTE(F194," ",""),"-",""),CHAR(160),"")
))
),
1
),
"")</f>
        <v>RHG5D75</v>
      </c>
    </row>
    <row r="195" spans="1:29" hidden="1" x14ac:dyDescent="0.3">
      <c r="A195" s="112" t="s">
        <v>937</v>
      </c>
      <c r="B195" s="112" t="s">
        <v>165</v>
      </c>
      <c r="C195" s="112" t="s">
        <v>858</v>
      </c>
      <c r="D195" s="112" t="s">
        <v>938</v>
      </c>
      <c r="E195" s="112" t="s">
        <v>939</v>
      </c>
      <c r="F195" s="112" t="s">
        <v>352</v>
      </c>
      <c r="G195" s="112" t="s">
        <v>544</v>
      </c>
      <c r="H195" s="112" t="s">
        <v>171</v>
      </c>
      <c r="I195" s="112" t="s">
        <v>172</v>
      </c>
      <c r="J195" s="112" t="s">
        <v>272</v>
      </c>
      <c r="K195" s="112" t="s">
        <v>174</v>
      </c>
      <c r="L195" s="112" t="s">
        <v>273</v>
      </c>
      <c r="M195" s="112" t="s">
        <v>649</v>
      </c>
      <c r="N195" s="112" t="s">
        <v>176</v>
      </c>
      <c r="O195" s="112" t="s">
        <v>273</v>
      </c>
      <c r="P195" s="112" t="s">
        <v>273</v>
      </c>
      <c r="Q195" s="112" t="s">
        <v>177</v>
      </c>
      <c r="R195" s="112">
        <v>48347</v>
      </c>
      <c r="S195" s="112">
        <v>48347</v>
      </c>
      <c r="T195" s="113">
        <v>10394.6</v>
      </c>
      <c r="U195" s="113">
        <v>8612.65</v>
      </c>
      <c r="V195" s="113">
        <v>607.5</v>
      </c>
      <c r="W195" s="113">
        <v>1174.45</v>
      </c>
      <c r="X195" s="121">
        <v>0.12</v>
      </c>
      <c r="Y195" s="113">
        <v>9787.1</v>
      </c>
      <c r="Z195" s="87" t="str">
        <f t="shared" si="14"/>
        <v>PARANAGUA/MUITOS CAPOES</v>
      </c>
      <c r="AA195" s="87">
        <f>IFERROR(_xlfn.XLOOKUP(Z195,Rotas!C:C,Rotas!D:D),"0")</f>
        <v>581</v>
      </c>
      <c r="AB195" s="88" t="str">
        <f t="shared" si="15"/>
        <v>BWT</v>
      </c>
      <c r="AC195" s="21" t="str" cm="1">
        <f t="array" ref="AC195">IFERROR(
INDEX(
_xlfn._xlws.FILTER(
BWT!$C$1:$C$100,
ISNUMBER(FIND(
SUBSTITUTE(BWT!$C$1:$C$100," ",""),
SUBSTITUTE(SUBSTITUTE(SUBSTITUTE(F195," ",""),"-",""),CHAR(160),"")
))
),
1
),
"")</f>
        <v>SFF3I83</v>
      </c>
    </row>
    <row r="196" spans="1:29" hidden="1" x14ac:dyDescent="0.3">
      <c r="A196" s="112" t="s">
        <v>940</v>
      </c>
      <c r="B196" s="112" t="s">
        <v>165</v>
      </c>
      <c r="C196" s="112" t="s">
        <v>858</v>
      </c>
      <c r="D196" s="112" t="s">
        <v>941</v>
      </c>
      <c r="E196" s="112" t="s">
        <v>942</v>
      </c>
      <c r="F196" s="112" t="s">
        <v>663</v>
      </c>
      <c r="G196" s="112" t="s">
        <v>467</v>
      </c>
      <c r="H196" s="112" t="s">
        <v>183</v>
      </c>
      <c r="I196" s="112" t="s">
        <v>172</v>
      </c>
      <c r="J196" s="112" t="s">
        <v>171</v>
      </c>
      <c r="K196" s="112" t="s">
        <v>172</v>
      </c>
      <c r="L196" s="112" t="s">
        <v>184</v>
      </c>
      <c r="M196" s="112" t="s">
        <v>184</v>
      </c>
      <c r="N196" s="112" t="s">
        <v>184</v>
      </c>
      <c r="O196" s="112" t="s">
        <v>655</v>
      </c>
      <c r="P196" s="112" t="s">
        <v>655</v>
      </c>
      <c r="Q196" s="112" t="s">
        <v>656</v>
      </c>
      <c r="R196" s="112">
        <v>26760</v>
      </c>
      <c r="S196" s="112">
        <v>26760</v>
      </c>
      <c r="T196" s="113">
        <v>2650</v>
      </c>
      <c r="U196" s="113">
        <v>2650</v>
      </c>
      <c r="V196" s="113">
        <v>0</v>
      </c>
      <c r="W196" s="113">
        <v>0</v>
      </c>
      <c r="X196" s="112"/>
      <c r="Y196" s="113"/>
      <c r="Z196" s="87" t="str">
        <f t="shared" si="14"/>
        <v>LAPA/PARANAGUA</v>
      </c>
      <c r="AA196" s="87">
        <f>IFERROR(_xlfn.XLOOKUP(Z196,Rotas!C:C,Rotas!D:D),"0")</f>
        <v>465</v>
      </c>
      <c r="AB196" s="88" t="str">
        <f t="shared" si="15"/>
        <v>BWT</v>
      </c>
      <c r="AC196" s="21" t="str" cm="1">
        <f t="array" ref="AC196">IFERROR(
INDEX(
_xlfn._xlws.FILTER(
BWT!$C$1:$C$100,
ISNUMBER(FIND(
SUBSTITUTE(BWT!$C$1:$C$100," ",""),
SUBSTITUTE(SUBSTITUTE(SUBSTITUTE(F196," ",""),"-",""),CHAR(160),"")
))
),
1
),
"")</f>
        <v>RHG5D75</v>
      </c>
    </row>
    <row r="197" spans="1:29" hidden="1" x14ac:dyDescent="0.3">
      <c r="A197" s="112" t="s">
        <v>943</v>
      </c>
      <c r="B197" s="112" t="s">
        <v>165</v>
      </c>
      <c r="C197" s="112" t="s">
        <v>858</v>
      </c>
      <c r="D197" s="112" t="s">
        <v>944</v>
      </c>
      <c r="E197" s="112" t="s">
        <v>945</v>
      </c>
      <c r="F197" s="112" t="s">
        <v>85</v>
      </c>
      <c r="G197" s="112" t="s">
        <v>644</v>
      </c>
      <c r="H197" s="112" t="s">
        <v>171</v>
      </c>
      <c r="I197" s="112" t="s">
        <v>172</v>
      </c>
      <c r="J197" s="112" t="s">
        <v>183</v>
      </c>
      <c r="K197" s="112" t="s">
        <v>172</v>
      </c>
      <c r="L197" s="112" t="s">
        <v>184</v>
      </c>
      <c r="M197" s="112" t="s">
        <v>176</v>
      </c>
      <c r="N197" s="112" t="s">
        <v>176</v>
      </c>
      <c r="O197" s="112" t="s">
        <v>184</v>
      </c>
      <c r="P197" s="112" t="s">
        <v>184</v>
      </c>
      <c r="Q197" s="112" t="s">
        <v>177</v>
      </c>
      <c r="R197" s="112">
        <v>33093</v>
      </c>
      <c r="S197" s="112">
        <v>51353</v>
      </c>
      <c r="T197" s="113">
        <v>3398.65</v>
      </c>
      <c r="U197" s="113">
        <v>3398.65</v>
      </c>
      <c r="V197" s="113">
        <v>0</v>
      </c>
      <c r="W197" s="113">
        <v>0</v>
      </c>
      <c r="X197" s="112"/>
      <c r="Y197" s="113"/>
      <c r="Z197" s="87" t="str">
        <f t="shared" si="14"/>
        <v>PARANAGUA/LAPA</v>
      </c>
      <c r="AA197" s="87">
        <f>IFERROR(_xlfn.XLOOKUP(Z197,Rotas!C:C,Rotas!D:D),"0")</f>
        <v>153</v>
      </c>
      <c r="AB197" s="88" t="str">
        <f t="shared" si="15"/>
        <v>BWT</v>
      </c>
      <c r="AC197" s="21" t="str" cm="1">
        <f t="array" ref="AC197">IFERROR(
INDEX(
_xlfn._xlws.FILTER(
BWT!$C$1:$C$100,
ISNUMBER(FIND(
SUBSTITUTE(BWT!$C$1:$C$100," ",""),
SUBSTITUTE(SUBSTITUTE(SUBSTITUTE(F197," ",""),"-",""),CHAR(160),"")
))
),
1
),
"")</f>
        <v>BBL9D24</v>
      </c>
    </row>
    <row r="198" spans="1:29" hidden="1" x14ac:dyDescent="0.3">
      <c r="A198" s="112" t="s">
        <v>946</v>
      </c>
      <c r="B198" s="112" t="s">
        <v>165</v>
      </c>
      <c r="C198" s="112" t="s">
        <v>858</v>
      </c>
      <c r="D198" s="112" t="s">
        <v>947</v>
      </c>
      <c r="E198" s="112" t="s">
        <v>948</v>
      </c>
      <c r="F198" s="112" t="s">
        <v>208</v>
      </c>
      <c r="G198" s="112" t="s">
        <v>209</v>
      </c>
      <c r="H198" s="112" t="s">
        <v>171</v>
      </c>
      <c r="I198" s="112" t="s">
        <v>172</v>
      </c>
      <c r="J198" s="112" t="s">
        <v>183</v>
      </c>
      <c r="K198" s="112" t="s">
        <v>172</v>
      </c>
      <c r="L198" s="112" t="s">
        <v>184</v>
      </c>
      <c r="M198" s="112" t="s">
        <v>176</v>
      </c>
      <c r="N198" s="112" t="s">
        <v>176</v>
      </c>
      <c r="O198" s="112" t="s">
        <v>184</v>
      </c>
      <c r="P198" s="112" t="s">
        <v>184</v>
      </c>
      <c r="Q198" s="112" t="s">
        <v>177</v>
      </c>
      <c r="R198" s="112">
        <v>39080</v>
      </c>
      <c r="S198" s="112">
        <v>58320</v>
      </c>
      <c r="T198" s="113">
        <v>4013.52</v>
      </c>
      <c r="U198" s="113">
        <v>4013.52</v>
      </c>
      <c r="V198" s="113">
        <v>0</v>
      </c>
      <c r="W198" s="113">
        <v>0</v>
      </c>
      <c r="X198" s="112"/>
      <c r="Y198" s="113"/>
      <c r="Z198" s="87" t="str">
        <f t="shared" si="14"/>
        <v>PARANAGUA/LAPA</v>
      </c>
      <c r="AA198" s="87">
        <f>IFERROR(_xlfn.XLOOKUP(Z198,Rotas!C:C,Rotas!D:D),"0")</f>
        <v>153</v>
      </c>
      <c r="AB198" s="88" t="str">
        <f t="shared" si="15"/>
        <v>BWT</v>
      </c>
      <c r="AC198" s="21" t="str" cm="1">
        <f t="array" ref="AC198">IFERROR(
INDEX(
_xlfn._xlws.FILTER(
BWT!$C$1:$C$100,
ISNUMBER(FIND(
SUBSTITUTE(BWT!$C$1:$C$100," ",""),
SUBSTITUTE(SUBSTITUTE(SUBSTITUTE(F198," ",""),"-",""),CHAR(160),"")
))
),
1
),
"")</f>
        <v>AWZ2403</v>
      </c>
    </row>
    <row r="199" spans="1:29" hidden="1" x14ac:dyDescent="0.3">
      <c r="A199" s="112" t="s">
        <v>979</v>
      </c>
      <c r="B199" s="112" t="s">
        <v>236</v>
      </c>
      <c r="C199" s="112" t="s">
        <v>858</v>
      </c>
      <c r="D199" s="112" t="s">
        <v>615</v>
      </c>
      <c r="E199" s="112" t="s">
        <v>980</v>
      </c>
      <c r="F199" s="112" t="s">
        <v>448</v>
      </c>
      <c r="G199" s="112" t="s">
        <v>449</v>
      </c>
      <c r="H199" s="112" t="s">
        <v>272</v>
      </c>
      <c r="I199" s="112" t="s">
        <v>174</v>
      </c>
      <c r="J199" s="112" t="s">
        <v>233</v>
      </c>
      <c r="K199" s="112" t="s">
        <v>172</v>
      </c>
      <c r="L199" s="112" t="s">
        <v>336</v>
      </c>
      <c r="M199" s="112" t="s">
        <v>273</v>
      </c>
      <c r="N199" s="112" t="s">
        <v>273</v>
      </c>
      <c r="O199" s="112" t="s">
        <v>336</v>
      </c>
      <c r="P199" s="112" t="s">
        <v>336</v>
      </c>
      <c r="Q199" s="112" t="s">
        <v>246</v>
      </c>
      <c r="R199" s="112">
        <v>59663</v>
      </c>
      <c r="S199" s="112">
        <v>52450</v>
      </c>
      <c r="T199" s="113">
        <v>8352.82</v>
      </c>
      <c r="U199" s="113">
        <v>6958.98</v>
      </c>
      <c r="V199" s="113">
        <v>391.5</v>
      </c>
      <c r="W199" s="113">
        <v>1002.34</v>
      </c>
      <c r="X199" s="121">
        <v>0.12</v>
      </c>
      <c r="Y199" s="113">
        <v>8352.82</v>
      </c>
      <c r="Z199" s="87" t="str">
        <f t="shared" si="14"/>
        <v>MUITOS CAPOES/ARAUCARIA</v>
      </c>
      <c r="AA199" s="87">
        <f>IFERROR(_xlfn.XLOOKUP(Z199,Rotas!C:C,Rotas!D:D),"0")</f>
        <v>495</v>
      </c>
      <c r="AB199" s="88" t="str">
        <f t="shared" si="15"/>
        <v>BWT</v>
      </c>
      <c r="AC199" s="21" t="str" cm="1">
        <f t="array" ref="AC199">IFERROR(
INDEX(
_xlfn._xlws.FILTER(
BWT!$C$1:$C$100,
ISNUMBER(FIND(
SUBSTITUTE(BWT!$C$1:$C$100," ",""),
SUBSTITUTE(SUBSTITUTE(SUBSTITUTE(F199," ",""),"-",""),CHAR(160),"")
))
),
1
),
"")</f>
        <v>TAW8B84</v>
      </c>
    </row>
    <row r="200" spans="1:29" x14ac:dyDescent="0.3">
      <c r="A200" s="112" t="s">
        <v>981</v>
      </c>
      <c r="B200" s="112" t="s">
        <v>236</v>
      </c>
      <c r="C200" s="112" t="s">
        <v>858</v>
      </c>
      <c r="D200" s="112" t="s">
        <v>618</v>
      </c>
      <c r="E200" s="112" t="s">
        <v>982</v>
      </c>
      <c r="F200" s="112" t="s">
        <v>627</v>
      </c>
      <c r="G200" s="112" t="s">
        <v>628</v>
      </c>
      <c r="H200" s="112" t="s">
        <v>241</v>
      </c>
      <c r="I200" s="112" t="s">
        <v>174</v>
      </c>
      <c r="J200" s="112" t="s">
        <v>850</v>
      </c>
      <c r="K200" s="112" t="s">
        <v>232</v>
      </c>
      <c r="L200" s="112" t="s">
        <v>851</v>
      </c>
      <c r="M200" s="112" t="s">
        <v>245</v>
      </c>
      <c r="N200" s="112" t="s">
        <v>245</v>
      </c>
      <c r="O200" s="112" t="s">
        <v>851</v>
      </c>
      <c r="P200" s="112" t="s">
        <v>851</v>
      </c>
      <c r="Q200" s="112" t="s">
        <v>246</v>
      </c>
      <c r="R200" s="112">
        <v>59772</v>
      </c>
      <c r="S200" s="112">
        <v>52200</v>
      </c>
      <c r="T200" s="113">
        <v>20627.32</v>
      </c>
      <c r="U200" s="113">
        <v>18152.04</v>
      </c>
      <c r="V200" s="113">
        <v>0</v>
      </c>
      <c r="W200" s="113">
        <v>2475.2800000000002</v>
      </c>
      <c r="X200" s="121">
        <v>0.12</v>
      </c>
      <c r="Y200" s="113">
        <v>20627.32</v>
      </c>
      <c r="Z200" s="87" t="str">
        <f t="shared" si="14"/>
        <v>CAMARGO/SAO PAULO</v>
      </c>
      <c r="AA200" s="87">
        <f>IFERROR(_xlfn.XLOOKUP(Z200,Rotas!C:C,Rotas!D:D),"0")</f>
        <v>1002</v>
      </c>
      <c r="AB200" s="88" t="str">
        <f t="shared" si="15"/>
        <v>BWT</v>
      </c>
      <c r="AC200" s="21" t="str" cm="1">
        <f t="array" ref="AC200">IFERROR(
INDEX(
_xlfn._xlws.FILTER(
BWT!$C$1:$C$100,
ISNUMBER(FIND(
SUBSTITUTE(BWT!$C$1:$C$100," ",""),
SUBSTITUTE(SUBSTITUTE(SUBSTITUTE(F200," ",""),"-",""),CHAR(160),"")
))
),
1
),
"")</f>
        <v>TAW8B90</v>
      </c>
    </row>
    <row r="201" spans="1:29" hidden="1" x14ac:dyDescent="0.3">
      <c r="A201" s="112" t="s">
        <v>877</v>
      </c>
      <c r="B201" s="112" t="s">
        <v>226</v>
      </c>
      <c r="C201" s="112" t="s">
        <v>878</v>
      </c>
      <c r="D201" s="112" t="s">
        <v>879</v>
      </c>
      <c r="E201" s="112" t="s">
        <v>880</v>
      </c>
      <c r="F201" s="112" t="s">
        <v>302</v>
      </c>
      <c r="G201" s="112" t="s">
        <v>303</v>
      </c>
      <c r="H201" s="112" t="s">
        <v>280</v>
      </c>
      <c r="I201" s="112" t="s">
        <v>232</v>
      </c>
      <c r="J201" s="112" t="s">
        <v>876</v>
      </c>
      <c r="K201" s="112" t="s">
        <v>232</v>
      </c>
      <c r="L201" s="112" t="s">
        <v>254</v>
      </c>
      <c r="M201" s="112" t="s">
        <v>282</v>
      </c>
      <c r="N201" s="112" t="s">
        <v>254</v>
      </c>
      <c r="O201" s="112" t="s">
        <v>217</v>
      </c>
      <c r="P201" s="112" t="s">
        <v>217</v>
      </c>
      <c r="Q201" s="112" t="s">
        <v>488</v>
      </c>
      <c r="R201" s="112">
        <v>59532</v>
      </c>
      <c r="S201" s="112">
        <v>48989</v>
      </c>
      <c r="T201" s="113">
        <v>12177</v>
      </c>
      <c r="U201" s="113">
        <v>10715.76</v>
      </c>
      <c r="V201" s="113">
        <v>0</v>
      </c>
      <c r="W201" s="113">
        <v>1461.24</v>
      </c>
      <c r="X201" s="121">
        <v>0.12</v>
      </c>
      <c r="Y201" s="113">
        <v>12177</v>
      </c>
      <c r="Z201" s="87" t="str">
        <f t="shared" si="14"/>
        <v>SANTOS/PRESIDENTE PRUDENTE</v>
      </c>
      <c r="AA201" s="87">
        <f>IFERROR(_xlfn.XLOOKUP(Z201,Rotas!C:C,Rotas!D:D),"0")</f>
        <v>641</v>
      </c>
      <c r="AB201" s="88" t="str">
        <f t="shared" si="15"/>
        <v>BWT</v>
      </c>
      <c r="AC201" s="21" t="str" cm="1">
        <f t="array" ref="AC201">IFERROR(
INDEX(
_xlfn._xlws.FILTER(
BWT!$C$1:$C$100,
ISNUMBER(FIND(
SUBSTITUTE(BWT!$C$1:$C$100," ",""),
SUBSTITUTE(SUBSTITUTE(SUBSTITUTE(F201," ",""),"-",""),CHAR(160),"")
))
),
1
),
"")</f>
        <v>SEE0I13</v>
      </c>
    </row>
    <row r="202" spans="1:29" hidden="1" x14ac:dyDescent="0.3">
      <c r="A202" s="112" t="s">
        <v>881</v>
      </c>
      <c r="B202" s="112" t="s">
        <v>226</v>
      </c>
      <c r="C202" s="112" t="s">
        <v>878</v>
      </c>
      <c r="D202" s="112" t="s">
        <v>882</v>
      </c>
      <c r="E202" s="112" t="s">
        <v>883</v>
      </c>
      <c r="F202" s="112" t="s">
        <v>433</v>
      </c>
      <c r="G202" s="112" t="s">
        <v>434</v>
      </c>
      <c r="H202" s="112" t="s">
        <v>280</v>
      </c>
      <c r="I202" s="112" t="s">
        <v>232</v>
      </c>
      <c r="J202" s="112" t="s">
        <v>876</v>
      </c>
      <c r="K202" s="112" t="s">
        <v>232</v>
      </c>
      <c r="L202" s="112" t="s">
        <v>254</v>
      </c>
      <c r="M202" s="112" t="s">
        <v>282</v>
      </c>
      <c r="N202" s="112" t="s">
        <v>254</v>
      </c>
      <c r="O202" s="112" t="s">
        <v>217</v>
      </c>
      <c r="P202" s="112" t="s">
        <v>217</v>
      </c>
      <c r="Q202" s="112" t="s">
        <v>488</v>
      </c>
      <c r="R202" s="112">
        <v>59507</v>
      </c>
      <c r="S202" s="112">
        <v>48992</v>
      </c>
      <c r="T202" s="113">
        <v>12171.89</v>
      </c>
      <c r="U202" s="113">
        <v>10711.26</v>
      </c>
      <c r="V202" s="113">
        <v>0</v>
      </c>
      <c r="W202" s="113">
        <v>1460.63</v>
      </c>
      <c r="X202" s="121">
        <v>0.12</v>
      </c>
      <c r="Y202" s="113">
        <v>12171.89</v>
      </c>
      <c r="Z202" s="87" t="str">
        <f t="shared" si="14"/>
        <v>SANTOS/PRESIDENTE PRUDENTE</v>
      </c>
      <c r="AA202" s="87">
        <f>IFERROR(_xlfn.XLOOKUP(Z202,Rotas!C:C,Rotas!D:D),"0")</f>
        <v>641</v>
      </c>
      <c r="AB202" s="88" t="str">
        <f t="shared" si="15"/>
        <v>BWT</v>
      </c>
      <c r="AC202" s="21" t="str" cm="1">
        <f t="array" ref="AC202">IFERROR(
INDEX(
_xlfn._xlws.FILTER(
BWT!$C$1:$C$100,
ISNUMBER(FIND(
SUBSTITUTE(BWT!$C$1:$C$100," ",""),
SUBSTITUTE(SUBSTITUTE(SUBSTITUTE(F202," ",""),"-",""),CHAR(160),"")
))
),
1
),
"")</f>
        <v>SEE0I05</v>
      </c>
    </row>
    <row r="203" spans="1:29" hidden="1" x14ac:dyDescent="0.3">
      <c r="A203" s="112" t="s">
        <v>884</v>
      </c>
      <c r="B203" s="112" t="s">
        <v>226</v>
      </c>
      <c r="C203" s="112" t="s">
        <v>878</v>
      </c>
      <c r="D203" s="112" t="s">
        <v>885</v>
      </c>
      <c r="E203" s="112" t="s">
        <v>886</v>
      </c>
      <c r="F203" s="112" t="s">
        <v>586</v>
      </c>
      <c r="G203" s="112" t="s">
        <v>587</v>
      </c>
      <c r="H203" s="112" t="s">
        <v>280</v>
      </c>
      <c r="I203" s="112" t="s">
        <v>232</v>
      </c>
      <c r="J203" s="112" t="s">
        <v>876</v>
      </c>
      <c r="K203" s="112" t="s">
        <v>232</v>
      </c>
      <c r="L203" s="112" t="s">
        <v>254</v>
      </c>
      <c r="M203" s="112" t="s">
        <v>282</v>
      </c>
      <c r="N203" s="112" t="s">
        <v>254</v>
      </c>
      <c r="O203" s="112" t="s">
        <v>217</v>
      </c>
      <c r="P203" s="112" t="s">
        <v>217</v>
      </c>
      <c r="Q203" s="112" t="s">
        <v>488</v>
      </c>
      <c r="R203" s="112">
        <v>59621</v>
      </c>
      <c r="S203" s="112">
        <v>49116</v>
      </c>
      <c r="T203" s="113">
        <v>12195.2</v>
      </c>
      <c r="U203" s="113">
        <v>10731.78</v>
      </c>
      <c r="V203" s="113">
        <v>0</v>
      </c>
      <c r="W203" s="113">
        <v>1463.42</v>
      </c>
      <c r="X203" s="121">
        <v>0.12</v>
      </c>
      <c r="Y203" s="113">
        <v>12195.2</v>
      </c>
      <c r="Z203" s="87" t="str">
        <f t="shared" si="14"/>
        <v>SANTOS/PRESIDENTE PRUDENTE</v>
      </c>
      <c r="AA203" s="87">
        <f>IFERROR(_xlfn.XLOOKUP(Z203,Rotas!C:C,Rotas!D:D),"0")</f>
        <v>641</v>
      </c>
      <c r="AB203" s="88" t="str">
        <f t="shared" si="15"/>
        <v>BWT</v>
      </c>
      <c r="AC203" s="21" t="str" cm="1">
        <f t="array" ref="AC203">IFERROR(
INDEX(
_xlfn._xlws.FILTER(
BWT!$C$1:$C$100,
ISNUMBER(FIND(
SUBSTITUTE(BWT!$C$1:$C$100," ",""),
SUBSTITUTE(SUBSTITUTE(SUBSTITUTE(F203," ",""),"-",""),CHAR(160),"")
))
),
1
),
"")</f>
        <v>SER6B09</v>
      </c>
    </row>
    <row r="204" spans="1:29" hidden="1" x14ac:dyDescent="0.3">
      <c r="A204" s="112" t="s">
        <v>887</v>
      </c>
      <c r="B204" s="112" t="s">
        <v>226</v>
      </c>
      <c r="C204" s="112" t="s">
        <v>878</v>
      </c>
      <c r="D204" s="112" t="s">
        <v>888</v>
      </c>
      <c r="E204" s="112" t="s">
        <v>889</v>
      </c>
      <c r="F204" s="112" t="s">
        <v>472</v>
      </c>
      <c r="G204" s="112" t="s">
        <v>473</v>
      </c>
      <c r="H204" s="112" t="s">
        <v>231</v>
      </c>
      <c r="I204" s="112" t="s">
        <v>232</v>
      </c>
      <c r="J204" s="112" t="s">
        <v>233</v>
      </c>
      <c r="K204" s="112" t="s">
        <v>172</v>
      </c>
      <c r="L204" s="112" t="s">
        <v>217</v>
      </c>
      <c r="M204" s="112" t="s">
        <v>234</v>
      </c>
      <c r="N204" s="112" t="s">
        <v>234</v>
      </c>
      <c r="O204" s="112" t="s">
        <v>217</v>
      </c>
      <c r="P204" s="112" t="s">
        <v>217</v>
      </c>
      <c r="Q204" s="112" t="s">
        <v>219</v>
      </c>
      <c r="R204" s="112">
        <v>59508</v>
      </c>
      <c r="S204" s="112">
        <v>46900</v>
      </c>
      <c r="T204" s="113">
        <v>10017.64</v>
      </c>
      <c r="U204" s="113">
        <v>8815.52</v>
      </c>
      <c r="V204" s="113">
        <v>0</v>
      </c>
      <c r="W204" s="113">
        <v>1202.1199999999999</v>
      </c>
      <c r="X204" s="121">
        <v>0.12</v>
      </c>
      <c r="Y204" s="113">
        <v>10017.64</v>
      </c>
      <c r="Z204" s="89" t="str">
        <f t="shared" si="14"/>
        <v>NOVA INDEPENDENCIA/ARAUCARIA</v>
      </c>
      <c r="AA204" s="89">
        <f>IFERROR(_xlfn.XLOOKUP(Z204,Rotas!C:C,Rotas!D:D),"0")</f>
        <v>689</v>
      </c>
      <c r="AB204" s="97" t="str">
        <f t="shared" si="15"/>
        <v>BWT</v>
      </c>
      <c r="AC204" s="21" t="str" cm="1">
        <f t="array" ref="AC204">IFERROR(
INDEX(
_xlfn._xlws.FILTER(
BWT!$C$1:$C$100,
ISNUMBER(FIND(
SUBSTITUTE(BWT!$C$1:$C$100," ",""),
SUBSTITUTE(SUBSTITUTE(SUBSTITUTE(F204," ",""),"-",""),CHAR(160),"")
))
),
1
),
"")</f>
        <v>TAW8B87</v>
      </c>
    </row>
    <row r="205" spans="1:29" hidden="1" x14ac:dyDescent="0.3">
      <c r="A205" s="112" t="s">
        <v>890</v>
      </c>
      <c r="B205" s="112" t="s">
        <v>226</v>
      </c>
      <c r="C205" s="112" t="s">
        <v>878</v>
      </c>
      <c r="D205" s="112" t="s">
        <v>891</v>
      </c>
      <c r="E205" s="112" t="s">
        <v>892</v>
      </c>
      <c r="F205" s="112" t="s">
        <v>481</v>
      </c>
      <c r="G205" s="112" t="s">
        <v>482</v>
      </c>
      <c r="H205" s="112" t="s">
        <v>231</v>
      </c>
      <c r="I205" s="112" t="s">
        <v>232</v>
      </c>
      <c r="J205" s="112" t="s">
        <v>233</v>
      </c>
      <c r="K205" s="112" t="s">
        <v>172</v>
      </c>
      <c r="L205" s="112" t="s">
        <v>217</v>
      </c>
      <c r="M205" s="112" t="s">
        <v>234</v>
      </c>
      <c r="N205" s="112" t="s">
        <v>234</v>
      </c>
      <c r="O205" s="112" t="s">
        <v>217</v>
      </c>
      <c r="P205" s="112" t="s">
        <v>217</v>
      </c>
      <c r="Q205" s="112" t="s">
        <v>219</v>
      </c>
      <c r="R205" s="112">
        <v>59508</v>
      </c>
      <c r="S205" s="112">
        <v>46940</v>
      </c>
      <c r="T205" s="113">
        <v>10017.64</v>
      </c>
      <c r="U205" s="113">
        <v>8815.52</v>
      </c>
      <c r="V205" s="113">
        <v>0</v>
      </c>
      <c r="W205" s="113">
        <v>1202.1199999999999</v>
      </c>
      <c r="X205" s="121">
        <v>0.12</v>
      </c>
      <c r="Y205" s="113">
        <v>10017.64</v>
      </c>
      <c r="Z205" s="87" t="str">
        <f t="shared" ref="Z205:Z208" si="16">IF(H205&amp;J205="","CT-e COMPLEMENTAR",H205&amp;"/"&amp;J205)</f>
        <v>NOVA INDEPENDENCIA/ARAUCARIA</v>
      </c>
      <c r="AA205" s="87">
        <f>IFERROR(_xlfn.XLOOKUP(Z205,Rotas!C:C,Rotas!D:D),"0")</f>
        <v>689</v>
      </c>
      <c r="AB205" s="88" t="str">
        <f t="shared" ref="AB205:AB208" si="17">IF(AC205=0,"SUBCONTRATADO","BWT")</f>
        <v>BWT</v>
      </c>
      <c r="AC205" s="21" t="str" cm="1">
        <f t="array" ref="AC205">IFERROR(
INDEX(
_xlfn._xlws.FILTER(
BWT!$C$1:$C$100,
ISNUMBER(FIND(
SUBSTITUTE(BWT!$C$1:$C$100," ",""),
SUBSTITUTE(SUBSTITUTE(SUBSTITUTE(F205," ",""),"-",""),CHAR(160),"")
))
),
1
),
"")</f>
        <v>SEY8B40</v>
      </c>
    </row>
    <row r="206" spans="1:29" hidden="1" x14ac:dyDescent="0.3">
      <c r="A206" s="112" t="s">
        <v>893</v>
      </c>
      <c r="B206" s="112" t="s">
        <v>226</v>
      </c>
      <c r="C206" s="112" t="s">
        <v>878</v>
      </c>
      <c r="D206" s="112" t="s">
        <v>894</v>
      </c>
      <c r="E206" s="112" t="s">
        <v>895</v>
      </c>
      <c r="F206" s="112" t="s">
        <v>307</v>
      </c>
      <c r="G206" s="112" t="s">
        <v>308</v>
      </c>
      <c r="H206" s="112" t="s">
        <v>896</v>
      </c>
      <c r="I206" s="112" t="s">
        <v>232</v>
      </c>
      <c r="J206" s="112" t="s">
        <v>233</v>
      </c>
      <c r="K206" s="112" t="s">
        <v>172</v>
      </c>
      <c r="L206" s="112" t="s">
        <v>217</v>
      </c>
      <c r="M206" s="112" t="s">
        <v>897</v>
      </c>
      <c r="N206" s="112" t="s">
        <v>897</v>
      </c>
      <c r="O206" s="112" t="s">
        <v>217</v>
      </c>
      <c r="P206" s="112" t="s">
        <v>217</v>
      </c>
      <c r="Q206" s="112" t="s">
        <v>219</v>
      </c>
      <c r="R206" s="112">
        <v>49476</v>
      </c>
      <c r="S206" s="112">
        <v>59120</v>
      </c>
      <c r="T206" s="113">
        <v>10864.48</v>
      </c>
      <c r="U206" s="113">
        <v>9560.74</v>
      </c>
      <c r="V206" s="113">
        <v>0</v>
      </c>
      <c r="W206" s="113">
        <v>1303.74</v>
      </c>
      <c r="X206" s="121">
        <v>0.12</v>
      </c>
      <c r="Y206" s="113">
        <v>10864.48</v>
      </c>
      <c r="Z206" s="87" t="str">
        <f t="shared" si="16"/>
        <v>LUIS ANTONIO/ARAUCARIA</v>
      </c>
      <c r="AA206" s="87">
        <f>IFERROR(_xlfn.XLOOKUP(Z206,Rotas!C:C,Rotas!D:D),"0")</f>
        <v>701</v>
      </c>
      <c r="AB206" s="88" t="str">
        <f t="shared" si="17"/>
        <v>BWT</v>
      </c>
      <c r="AC206" s="21" t="str" cm="1">
        <f t="array" ref="AC206">IFERROR(
INDEX(
_xlfn._xlws.FILTER(
BWT!$C$1:$C$100,
ISNUMBER(FIND(
SUBSTITUTE(BWT!$C$1:$C$100," ",""),
SUBSTITUTE(SUBSTITUTE(SUBSTITUTE(F206," ",""),"-",""),CHAR(160),"")
))
),
1
),
"")</f>
        <v>BDQ4E30</v>
      </c>
    </row>
    <row r="207" spans="1:29" hidden="1" x14ac:dyDescent="0.3">
      <c r="A207" s="112" t="s">
        <v>898</v>
      </c>
      <c r="B207" s="112" t="s">
        <v>226</v>
      </c>
      <c r="C207" s="112" t="s">
        <v>878</v>
      </c>
      <c r="D207" s="112" t="s">
        <v>899</v>
      </c>
      <c r="E207" s="112" t="s">
        <v>900</v>
      </c>
      <c r="F207" s="112" t="s">
        <v>901</v>
      </c>
      <c r="G207" s="112" t="s">
        <v>363</v>
      </c>
      <c r="H207" s="112" t="s">
        <v>231</v>
      </c>
      <c r="I207" s="112" t="s">
        <v>232</v>
      </c>
      <c r="J207" s="112" t="s">
        <v>580</v>
      </c>
      <c r="K207" s="112" t="s">
        <v>174</v>
      </c>
      <c r="L207" s="112" t="s">
        <v>254</v>
      </c>
      <c r="M207" s="112" t="s">
        <v>234</v>
      </c>
      <c r="N207" s="112" t="s">
        <v>234</v>
      </c>
      <c r="O207" s="112" t="s">
        <v>254</v>
      </c>
      <c r="P207" s="112" t="s">
        <v>254</v>
      </c>
      <c r="Q207" s="112" t="s">
        <v>219</v>
      </c>
      <c r="R207" s="112">
        <v>59448</v>
      </c>
      <c r="S207" s="112">
        <v>46920</v>
      </c>
      <c r="T207" s="113">
        <v>16227.27</v>
      </c>
      <c r="U207" s="113">
        <v>14280</v>
      </c>
      <c r="V207" s="113">
        <v>0</v>
      </c>
      <c r="W207" s="113">
        <v>1947.27</v>
      </c>
      <c r="X207" s="121">
        <v>0.12</v>
      </c>
      <c r="Y207" s="113">
        <v>16227.27</v>
      </c>
      <c r="Z207" s="87" t="str">
        <f t="shared" si="16"/>
        <v>NOVA INDEPENDENCIA/PASSO FUNDO</v>
      </c>
      <c r="AA207" s="87">
        <f>IFERROR(_xlfn.XLOOKUP(Z207,Rotas!C:C,Rotas!D:D),"0")</f>
        <v>1087</v>
      </c>
      <c r="AB207" s="88" t="str">
        <f t="shared" si="17"/>
        <v>BWT</v>
      </c>
      <c r="AC207" s="21" t="str" cm="1">
        <f t="array" ref="AC207">IFERROR(
INDEX(
_xlfn._xlws.FILTER(
BWT!$C$1:$C$100,
ISNUMBER(FIND(
SUBSTITUTE(BWT!$C$1:$C$100," ",""),
SUBSTITUTE(SUBSTITUTE(SUBSTITUTE(F207," ",""),"-",""),CHAR(160),"")
))
),
1
),
"")</f>
        <v>SFC5G04</v>
      </c>
    </row>
    <row r="208" spans="1:29" hidden="1" x14ac:dyDescent="0.3">
      <c r="A208" s="112" t="s">
        <v>902</v>
      </c>
      <c r="B208" s="112" t="s">
        <v>226</v>
      </c>
      <c r="C208" s="112" t="s">
        <v>878</v>
      </c>
      <c r="D208" s="112" t="s">
        <v>903</v>
      </c>
      <c r="E208" s="112" t="s">
        <v>904</v>
      </c>
      <c r="F208" s="112" t="s">
        <v>317</v>
      </c>
      <c r="G208" s="112" t="s">
        <v>318</v>
      </c>
      <c r="H208" s="112" t="s">
        <v>896</v>
      </c>
      <c r="I208" s="112" t="s">
        <v>232</v>
      </c>
      <c r="J208" s="112" t="s">
        <v>233</v>
      </c>
      <c r="K208" s="112" t="s">
        <v>172</v>
      </c>
      <c r="L208" s="112" t="s">
        <v>217</v>
      </c>
      <c r="M208" s="112" t="s">
        <v>897</v>
      </c>
      <c r="N208" s="112" t="s">
        <v>897</v>
      </c>
      <c r="O208" s="112" t="s">
        <v>217</v>
      </c>
      <c r="P208" s="112" t="s">
        <v>217</v>
      </c>
      <c r="Q208" s="112" t="s">
        <v>219</v>
      </c>
      <c r="R208" s="112">
        <v>49450</v>
      </c>
      <c r="S208" s="112">
        <v>58820</v>
      </c>
      <c r="T208" s="113">
        <v>10858.77</v>
      </c>
      <c r="U208" s="113">
        <v>9555.7199999999993</v>
      </c>
      <c r="V208" s="113">
        <v>0</v>
      </c>
      <c r="W208" s="113">
        <v>1303.05</v>
      </c>
      <c r="X208" s="121">
        <v>0.12</v>
      </c>
      <c r="Y208" s="113">
        <v>10858.77</v>
      </c>
      <c r="Z208" s="89" t="str">
        <f t="shared" si="16"/>
        <v>LUIS ANTONIO/ARAUCARIA</v>
      </c>
      <c r="AA208" s="89">
        <f>IFERROR(_xlfn.XLOOKUP(Z208,Rotas!C:C,Rotas!D:D),"0")</f>
        <v>701</v>
      </c>
      <c r="AB208" s="97" t="str">
        <f t="shared" si="17"/>
        <v>BWT</v>
      </c>
      <c r="AC208" s="21" t="str" cm="1">
        <f t="array" ref="AC208">IFERROR(
INDEX(
_xlfn._xlws.FILTER(
BWT!$C$1:$C$100,
ISNUMBER(FIND(
SUBSTITUTE(BWT!$C$1:$C$100," ",""),
SUBSTITUTE(SUBSTITUTE(SUBSTITUTE(F208," ",""),"-",""),CHAR(160),"")
))
),
1
),
"")</f>
        <v>BAX9A94</v>
      </c>
    </row>
    <row r="209" spans="1:29" hidden="1" x14ac:dyDescent="0.3">
      <c r="A209" s="112" t="s">
        <v>905</v>
      </c>
      <c r="B209" s="112" t="s">
        <v>226</v>
      </c>
      <c r="C209" s="112" t="s">
        <v>878</v>
      </c>
      <c r="D209" s="112" t="s">
        <v>906</v>
      </c>
      <c r="E209" s="112" t="s">
        <v>907</v>
      </c>
      <c r="F209" s="112" t="s">
        <v>357</v>
      </c>
      <c r="G209" s="112" t="s">
        <v>358</v>
      </c>
      <c r="H209" s="112" t="s">
        <v>231</v>
      </c>
      <c r="I209" s="112" t="s">
        <v>232</v>
      </c>
      <c r="J209" s="112" t="s">
        <v>580</v>
      </c>
      <c r="K209" s="112" t="s">
        <v>174</v>
      </c>
      <c r="L209" s="112" t="s">
        <v>254</v>
      </c>
      <c r="M209" s="112" t="s">
        <v>234</v>
      </c>
      <c r="N209" s="112" t="s">
        <v>234</v>
      </c>
      <c r="O209" s="112" t="s">
        <v>254</v>
      </c>
      <c r="P209" s="112" t="s">
        <v>254</v>
      </c>
      <c r="Q209" s="112" t="s">
        <v>219</v>
      </c>
      <c r="R209" s="112">
        <v>59316</v>
      </c>
      <c r="S209" s="112">
        <v>46780</v>
      </c>
      <c r="T209" s="113">
        <v>16191.25</v>
      </c>
      <c r="U209" s="113">
        <v>14248.3</v>
      </c>
      <c r="V209" s="113">
        <v>0</v>
      </c>
      <c r="W209" s="113">
        <v>1942.95</v>
      </c>
      <c r="X209" s="121">
        <v>0.12</v>
      </c>
      <c r="Y209" s="113">
        <v>16191.25</v>
      </c>
      <c r="Z209" s="114" t="str">
        <f t="shared" ref="Z209:Z213" si="18">IF(H209&amp;J209="","CT-e COMPLEMENTAR",H209&amp;"/"&amp;J209)</f>
        <v>NOVA INDEPENDENCIA/PASSO FUNDO</v>
      </c>
      <c r="AA209" s="114">
        <f>IFERROR(_xlfn.XLOOKUP(Z209,Rotas!C:C,Rotas!D:D),"0")</f>
        <v>1087</v>
      </c>
      <c r="AB209" s="115" t="str">
        <f t="shared" ref="AB209:AB213" si="19">IF(AC209=0,"SUBCONTRATADO","BWT")</f>
        <v>BWT</v>
      </c>
      <c r="AC209" s="116" t="str" cm="1">
        <f t="array" ref="AC209">IFERROR(
INDEX(
_xlfn._xlws.FILTER(
BWT!$C$1:$C$100,
ISNUMBER(FIND(
SUBSTITUTE(BWT!$C$1:$C$100," ",""),
SUBSTITUTE(SUBSTITUTE(SUBSTITUTE(F209," ",""),"-",""),CHAR(160),"")
))
),
1
),
"")</f>
        <v>RHH5C90</v>
      </c>
    </row>
    <row r="210" spans="1:29" hidden="1" x14ac:dyDescent="0.3">
      <c r="A210" s="112" t="s">
        <v>908</v>
      </c>
      <c r="B210" s="112" t="s">
        <v>226</v>
      </c>
      <c r="C210" s="112" t="s">
        <v>878</v>
      </c>
      <c r="D210" s="112" t="s">
        <v>909</v>
      </c>
      <c r="E210" s="112" t="s">
        <v>910</v>
      </c>
      <c r="F210" s="112" t="s">
        <v>390</v>
      </c>
      <c r="G210" s="112" t="s">
        <v>391</v>
      </c>
      <c r="H210" s="112" t="s">
        <v>896</v>
      </c>
      <c r="I210" s="112" t="s">
        <v>232</v>
      </c>
      <c r="J210" s="112" t="s">
        <v>233</v>
      </c>
      <c r="K210" s="112" t="s">
        <v>172</v>
      </c>
      <c r="L210" s="112" t="s">
        <v>217</v>
      </c>
      <c r="M210" s="112" t="s">
        <v>897</v>
      </c>
      <c r="N210" s="112" t="s">
        <v>897</v>
      </c>
      <c r="O210" s="112" t="s">
        <v>217</v>
      </c>
      <c r="P210" s="112" t="s">
        <v>217</v>
      </c>
      <c r="Q210" s="112" t="s">
        <v>219</v>
      </c>
      <c r="R210" s="112">
        <v>59232</v>
      </c>
      <c r="S210" s="112">
        <v>72580</v>
      </c>
      <c r="T210" s="113">
        <v>10839.45</v>
      </c>
      <c r="U210" s="113">
        <v>9538.7199999999993</v>
      </c>
      <c r="V210" s="113">
        <v>0</v>
      </c>
      <c r="W210" s="113">
        <v>1300.73</v>
      </c>
      <c r="X210" s="121">
        <v>0.12</v>
      </c>
      <c r="Y210" s="113">
        <v>10839.45</v>
      </c>
      <c r="Z210" s="114" t="str">
        <f t="shared" si="18"/>
        <v>LUIS ANTONIO/ARAUCARIA</v>
      </c>
      <c r="AA210" s="114">
        <f>IFERROR(_xlfn.XLOOKUP(Z210,Rotas!C:C,Rotas!D:D),"0")</f>
        <v>701</v>
      </c>
      <c r="AB210" s="115" t="str">
        <f t="shared" si="19"/>
        <v>BWT</v>
      </c>
      <c r="AC210" s="116" t="str" cm="1">
        <f t="array" ref="AC210">IFERROR(
INDEX(
_xlfn._xlws.FILTER(
BWT!$C$1:$C$100,
ISNUMBER(FIND(
SUBSTITUTE(BWT!$C$1:$C$100," ",""),
SUBSTITUTE(SUBSTITUTE(SUBSTITUTE(F210," ",""),"-",""),CHAR(160),"")
))
),
1
),
"")</f>
        <v>SEE2J90</v>
      </c>
    </row>
    <row r="211" spans="1:29" hidden="1" x14ac:dyDescent="0.3">
      <c r="A211" s="112" t="s">
        <v>911</v>
      </c>
      <c r="B211" s="112" t="s">
        <v>226</v>
      </c>
      <c r="C211" s="112" t="s">
        <v>878</v>
      </c>
      <c r="D211" s="112" t="s">
        <v>912</v>
      </c>
      <c r="E211" s="112" t="s">
        <v>913</v>
      </c>
      <c r="F211" s="112" t="s">
        <v>278</v>
      </c>
      <c r="G211" s="112" t="s">
        <v>279</v>
      </c>
      <c r="H211" s="112" t="s">
        <v>896</v>
      </c>
      <c r="I211" s="112" t="s">
        <v>232</v>
      </c>
      <c r="J211" s="112" t="s">
        <v>233</v>
      </c>
      <c r="K211" s="112" t="s">
        <v>172</v>
      </c>
      <c r="L211" s="112" t="s">
        <v>217</v>
      </c>
      <c r="M211" s="112" t="s">
        <v>897</v>
      </c>
      <c r="N211" s="112" t="s">
        <v>897</v>
      </c>
      <c r="O211" s="112" t="s">
        <v>217</v>
      </c>
      <c r="P211" s="112" t="s">
        <v>217</v>
      </c>
      <c r="Q211" s="112" t="s">
        <v>219</v>
      </c>
      <c r="R211" s="112">
        <v>59245</v>
      </c>
      <c r="S211" s="112">
        <v>71280</v>
      </c>
      <c r="T211" s="113">
        <v>10841.83</v>
      </c>
      <c r="U211" s="113">
        <v>9540.81</v>
      </c>
      <c r="V211" s="113">
        <v>0</v>
      </c>
      <c r="W211" s="113">
        <v>1301.02</v>
      </c>
      <c r="X211" s="121">
        <v>0.12</v>
      </c>
      <c r="Y211" s="113">
        <v>10841.83</v>
      </c>
      <c r="Z211" s="114" t="str">
        <f t="shared" si="18"/>
        <v>LUIS ANTONIO/ARAUCARIA</v>
      </c>
      <c r="AA211" s="114">
        <f>IFERROR(_xlfn.XLOOKUP(Z211,Rotas!C:C,Rotas!D:D),"0")</f>
        <v>701</v>
      </c>
      <c r="AB211" s="115" t="str">
        <f t="shared" si="19"/>
        <v>BWT</v>
      </c>
      <c r="AC211" s="116" t="str" cm="1">
        <f t="array" ref="AC211">IFERROR(
INDEX(
_xlfn._xlws.FILTER(
BWT!$C$1:$C$100,
ISNUMBER(FIND(
SUBSTITUTE(BWT!$C$1:$C$100," ",""),
SUBSTITUTE(SUBSTITUTE(SUBSTITUTE(F211," ",""),"-",""),CHAR(160),"")
))
),
1
),
"")</f>
        <v>TAW8C01</v>
      </c>
    </row>
    <row r="212" spans="1:29" hidden="1" x14ac:dyDescent="0.3">
      <c r="A212" s="112" t="s">
        <v>914</v>
      </c>
      <c r="B212" s="112" t="s">
        <v>226</v>
      </c>
      <c r="C212" s="112" t="s">
        <v>878</v>
      </c>
      <c r="D212" s="112" t="s">
        <v>915</v>
      </c>
      <c r="E212" s="112" t="s">
        <v>916</v>
      </c>
      <c r="F212" s="112" t="s">
        <v>385</v>
      </c>
      <c r="G212" s="112" t="s">
        <v>386</v>
      </c>
      <c r="H212" s="112" t="s">
        <v>896</v>
      </c>
      <c r="I212" s="112" t="s">
        <v>232</v>
      </c>
      <c r="J212" s="112" t="s">
        <v>233</v>
      </c>
      <c r="K212" s="112" t="s">
        <v>172</v>
      </c>
      <c r="L212" s="112" t="s">
        <v>217</v>
      </c>
      <c r="M212" s="112" t="s">
        <v>897</v>
      </c>
      <c r="N212" s="112" t="s">
        <v>897</v>
      </c>
      <c r="O212" s="112" t="s">
        <v>217</v>
      </c>
      <c r="P212" s="112" t="s">
        <v>217</v>
      </c>
      <c r="Q212" s="112" t="s">
        <v>219</v>
      </c>
      <c r="R212" s="112">
        <v>59226</v>
      </c>
      <c r="S212" s="112">
        <v>72360</v>
      </c>
      <c r="T212" s="113">
        <v>10838.36</v>
      </c>
      <c r="U212" s="113">
        <v>9537.76</v>
      </c>
      <c r="V212" s="113">
        <v>0</v>
      </c>
      <c r="W212" s="113">
        <v>1300.5999999999999</v>
      </c>
      <c r="X212" s="121">
        <v>0.12</v>
      </c>
      <c r="Y212" s="113">
        <v>10838.36</v>
      </c>
      <c r="Z212" s="114" t="str">
        <f t="shared" si="18"/>
        <v>LUIS ANTONIO/ARAUCARIA</v>
      </c>
      <c r="AA212" s="114">
        <f>IFERROR(_xlfn.XLOOKUP(Z212,Rotas!C:C,Rotas!D:D),"0")</f>
        <v>701</v>
      </c>
      <c r="AB212" s="115" t="str">
        <f t="shared" si="19"/>
        <v>BWT</v>
      </c>
      <c r="AC212" s="116" t="str" cm="1">
        <f t="array" ref="AC212">IFERROR(
INDEX(
_xlfn._xlws.FILTER(
BWT!$C$1:$C$100,
ISNUMBER(FIND(
SUBSTITUTE(BWT!$C$1:$C$100," ",""),
SUBSTITUTE(SUBSTITUTE(SUBSTITUTE(F212," ",""),"-",""),CHAR(160),"")
))
),
1
),
"")</f>
        <v>SEX2C75</v>
      </c>
    </row>
    <row r="213" spans="1:29" hidden="1" x14ac:dyDescent="0.3">
      <c r="A213" s="112" t="s">
        <v>917</v>
      </c>
      <c r="B213" s="112" t="s">
        <v>226</v>
      </c>
      <c r="C213" s="112" t="s">
        <v>878</v>
      </c>
      <c r="D213" s="112" t="s">
        <v>918</v>
      </c>
      <c r="E213" s="112" t="s">
        <v>919</v>
      </c>
      <c r="F213" s="112" t="s">
        <v>920</v>
      </c>
      <c r="G213" s="112" t="s">
        <v>921</v>
      </c>
      <c r="H213" s="112" t="s">
        <v>280</v>
      </c>
      <c r="I213" s="112" t="s">
        <v>232</v>
      </c>
      <c r="J213" s="112" t="s">
        <v>876</v>
      </c>
      <c r="K213" s="112" t="s">
        <v>232</v>
      </c>
      <c r="L213" s="112" t="s">
        <v>254</v>
      </c>
      <c r="M213" s="112" t="s">
        <v>254</v>
      </c>
      <c r="N213" s="112" t="s">
        <v>282</v>
      </c>
      <c r="O213" s="112" t="s">
        <v>217</v>
      </c>
      <c r="P213" s="112" t="s">
        <v>217</v>
      </c>
      <c r="Q213" s="112" t="s">
        <v>498</v>
      </c>
      <c r="R213" s="112">
        <v>59621</v>
      </c>
      <c r="S213" s="112">
        <v>49420</v>
      </c>
      <c r="T213" s="113">
        <v>12195.2</v>
      </c>
      <c r="U213" s="113">
        <v>10731.78</v>
      </c>
      <c r="V213" s="113">
        <v>0</v>
      </c>
      <c r="W213" s="113">
        <v>1463.42</v>
      </c>
      <c r="X213" s="121">
        <v>0.12</v>
      </c>
      <c r="Y213" s="113">
        <v>12195.2</v>
      </c>
      <c r="Z213" s="117" t="str">
        <f t="shared" si="18"/>
        <v>SANTOS/PRESIDENTE PRUDENTE</v>
      </c>
      <c r="AA213" s="117">
        <f>IFERROR(_xlfn.XLOOKUP(Z213,Rotas!C:C,Rotas!D:D),"0")</f>
        <v>641</v>
      </c>
      <c r="AB213" s="118" t="str">
        <f t="shared" si="19"/>
        <v>BWT</v>
      </c>
      <c r="AC213" s="119" t="str" cm="1">
        <f t="array" ref="AC213">IFERROR(
INDEX(
_xlfn._xlws.FILTER(
BWT!$C$1:$C$100,
ISNUMBER(FIND(
SUBSTITUTE(BWT!$C$1:$C$100," ",""),
SUBSTITUTE(SUBSTITUTE(SUBSTITUTE(F213," ",""),"-",""),CHAR(160),"")
))
),
1
),
"")</f>
        <v>SER3G75</v>
      </c>
    </row>
    <row r="214" spans="1:29" hidden="1" x14ac:dyDescent="0.3">
      <c r="A214" s="112" t="s">
        <v>949</v>
      </c>
      <c r="B214" s="112" t="s">
        <v>165</v>
      </c>
      <c r="C214" s="112" t="s">
        <v>878</v>
      </c>
      <c r="D214" s="112" t="s">
        <v>950</v>
      </c>
      <c r="E214" s="112" t="s">
        <v>951</v>
      </c>
      <c r="F214" s="112" t="s">
        <v>769</v>
      </c>
      <c r="G214" s="112" t="s">
        <v>371</v>
      </c>
      <c r="H214" s="112" t="s">
        <v>171</v>
      </c>
      <c r="I214" s="112" t="s">
        <v>172</v>
      </c>
      <c r="J214" s="112" t="s">
        <v>183</v>
      </c>
      <c r="K214" s="112" t="s">
        <v>172</v>
      </c>
      <c r="L214" s="112" t="s">
        <v>184</v>
      </c>
      <c r="M214" s="112" t="s">
        <v>176</v>
      </c>
      <c r="N214" s="112" t="s">
        <v>176</v>
      </c>
      <c r="O214" s="112" t="s">
        <v>184</v>
      </c>
      <c r="P214" s="112" t="s">
        <v>184</v>
      </c>
      <c r="Q214" s="112" t="s">
        <v>177</v>
      </c>
      <c r="R214" s="112">
        <v>38720</v>
      </c>
      <c r="S214" s="112">
        <v>58200</v>
      </c>
      <c r="T214" s="113">
        <v>3976.54</v>
      </c>
      <c r="U214" s="113">
        <v>3976.54</v>
      </c>
      <c r="V214" s="113">
        <v>0</v>
      </c>
      <c r="W214" s="113">
        <v>0</v>
      </c>
      <c r="X214" s="112"/>
      <c r="Y214" s="113"/>
      <c r="Z214" s="114" t="str">
        <f t="shared" ref="Z214:Z216" si="20">IF(H214&amp;J214="","CT-e COMPLEMENTAR",H214&amp;"/"&amp;J214)</f>
        <v>PARANAGUA/LAPA</v>
      </c>
      <c r="AA214" s="114">
        <f>IFERROR(_xlfn.XLOOKUP(Z214,Rotas!C:C,Rotas!D:D),"0")</f>
        <v>153</v>
      </c>
      <c r="AB214" s="115" t="str">
        <f t="shared" ref="AB214:AB216" si="21">IF(AC214=0,"SUBCONTRATADO","BWT")</f>
        <v>SUBCONTRATADO</v>
      </c>
      <c r="AC214" s="116" cm="1">
        <f t="array" ref="AC214">IFERROR(
INDEX(
_xlfn._xlws.FILTER(
BWT!$C$1:$C$100,
ISNUMBER(FIND(
SUBSTITUTE(BWT!$C$1:$C$100," ",""),
SUBSTITUTE(SUBSTITUTE(SUBSTITUTE(F214," ",""),"-",""),CHAR(160),"")
))
),
1
),
"")</f>
        <v>0</v>
      </c>
    </row>
    <row r="215" spans="1:29" hidden="1" x14ac:dyDescent="0.3">
      <c r="A215" s="112" t="s">
        <v>952</v>
      </c>
      <c r="B215" s="112" t="s">
        <v>165</v>
      </c>
      <c r="C215" s="112" t="s">
        <v>878</v>
      </c>
      <c r="D215" s="112" t="s">
        <v>953</v>
      </c>
      <c r="E215" s="112" t="s">
        <v>954</v>
      </c>
      <c r="F215" s="112" t="s">
        <v>714</v>
      </c>
      <c r="G215" s="112" t="s">
        <v>715</v>
      </c>
      <c r="H215" s="112" t="s">
        <v>171</v>
      </c>
      <c r="I215" s="112" t="s">
        <v>172</v>
      </c>
      <c r="J215" s="112" t="s">
        <v>272</v>
      </c>
      <c r="K215" s="112" t="s">
        <v>174</v>
      </c>
      <c r="L215" s="112" t="s">
        <v>273</v>
      </c>
      <c r="M215" s="112" t="s">
        <v>649</v>
      </c>
      <c r="N215" s="112" t="s">
        <v>176</v>
      </c>
      <c r="O215" s="112" t="s">
        <v>273</v>
      </c>
      <c r="P215" s="112" t="s">
        <v>273</v>
      </c>
      <c r="Q215" s="112" t="s">
        <v>177</v>
      </c>
      <c r="R215" s="112">
        <v>48681</v>
      </c>
      <c r="S215" s="112">
        <v>48681</v>
      </c>
      <c r="T215" s="113">
        <v>10466.42</v>
      </c>
      <c r="U215" s="113">
        <v>8675.85</v>
      </c>
      <c r="V215" s="113">
        <v>607.5</v>
      </c>
      <c r="W215" s="113">
        <v>1183.07</v>
      </c>
      <c r="X215" s="121">
        <v>0.12</v>
      </c>
      <c r="Y215" s="113">
        <v>9858.92</v>
      </c>
      <c r="Z215" s="114" t="str">
        <f t="shared" si="20"/>
        <v>PARANAGUA/MUITOS CAPOES</v>
      </c>
      <c r="AA215" s="114">
        <f>IFERROR(_xlfn.XLOOKUP(Z215,Rotas!C:C,Rotas!D:D),"0")</f>
        <v>581</v>
      </c>
      <c r="AB215" s="115" t="str">
        <f t="shared" si="21"/>
        <v>BWT</v>
      </c>
      <c r="AC215" s="116" t="str" cm="1">
        <f t="array" ref="AC215">IFERROR(
INDEX(
_xlfn._xlws.FILTER(
BWT!$C$1:$C$100,
ISNUMBER(FIND(
SUBSTITUTE(BWT!$C$1:$C$100," ",""),
SUBSTITUTE(SUBSTITUTE(SUBSTITUTE(F215," ",""),"-",""),CHAR(160),"")
))
),
1
),
"")</f>
        <v>BDQ4E19</v>
      </c>
    </row>
    <row r="216" spans="1:29" hidden="1" x14ac:dyDescent="0.3">
      <c r="A216" s="112" t="s">
        <v>955</v>
      </c>
      <c r="B216" s="112" t="s">
        <v>165</v>
      </c>
      <c r="C216" s="112" t="s">
        <v>878</v>
      </c>
      <c r="D216" s="112" t="s">
        <v>956</v>
      </c>
      <c r="E216" s="112" t="s">
        <v>957</v>
      </c>
      <c r="F216" s="112" t="s">
        <v>188</v>
      </c>
      <c r="G216" s="112" t="s">
        <v>189</v>
      </c>
      <c r="H216" s="112" t="s">
        <v>171</v>
      </c>
      <c r="I216" s="112" t="s">
        <v>172</v>
      </c>
      <c r="J216" s="112" t="s">
        <v>183</v>
      </c>
      <c r="K216" s="112" t="s">
        <v>172</v>
      </c>
      <c r="L216" s="112" t="s">
        <v>184</v>
      </c>
      <c r="M216" s="112" t="s">
        <v>176</v>
      </c>
      <c r="N216" s="112" t="s">
        <v>176</v>
      </c>
      <c r="O216" s="112" t="s">
        <v>184</v>
      </c>
      <c r="P216" s="112" t="s">
        <v>184</v>
      </c>
      <c r="Q216" s="112" t="s">
        <v>177</v>
      </c>
      <c r="R216" s="112">
        <v>48700</v>
      </c>
      <c r="S216" s="112">
        <v>73640</v>
      </c>
      <c r="T216" s="113">
        <v>4463.3599999999997</v>
      </c>
      <c r="U216" s="113">
        <v>4463.3599999999997</v>
      </c>
      <c r="V216" s="113">
        <v>0</v>
      </c>
      <c r="W216" s="113">
        <v>0</v>
      </c>
      <c r="X216" s="112"/>
      <c r="Y216" s="113"/>
      <c r="Z216" s="117" t="str">
        <f t="shared" si="20"/>
        <v>PARANAGUA/LAPA</v>
      </c>
      <c r="AA216" s="117">
        <f>IFERROR(_xlfn.XLOOKUP(Z216,Rotas!C:C,Rotas!D:D),"0")</f>
        <v>153</v>
      </c>
      <c r="AB216" s="118" t="str">
        <f t="shared" si="21"/>
        <v>BWT</v>
      </c>
      <c r="AC216" s="119" t="str" cm="1">
        <f t="array" ref="AC216">IFERROR(
INDEX(
_xlfn._xlws.FILTER(
BWT!$C$1:$C$100,
ISNUMBER(FIND(
SUBSTITUTE(BWT!$C$1:$C$100," ",""),
SUBSTITUTE(SUBSTITUTE(SUBSTITUTE(F216," ",""),"-",""),CHAR(160),"")
))
),
1
),
"")</f>
        <v>BDQ4E29</v>
      </c>
    </row>
    <row r="217" spans="1:29" hidden="1" x14ac:dyDescent="0.3">
      <c r="A217" s="112" t="s">
        <v>958</v>
      </c>
      <c r="B217" s="112" t="s">
        <v>165</v>
      </c>
      <c r="C217" s="112" t="s">
        <v>878</v>
      </c>
      <c r="D217" s="112" t="s">
        <v>959</v>
      </c>
      <c r="E217" s="112" t="s">
        <v>960</v>
      </c>
      <c r="F217" s="112" t="s">
        <v>181</v>
      </c>
      <c r="G217" s="112" t="s">
        <v>182</v>
      </c>
      <c r="H217" s="112" t="s">
        <v>171</v>
      </c>
      <c r="I217" s="112" t="s">
        <v>172</v>
      </c>
      <c r="J217" s="112" t="s">
        <v>183</v>
      </c>
      <c r="K217" s="112" t="s">
        <v>172</v>
      </c>
      <c r="L217" s="112" t="s">
        <v>184</v>
      </c>
      <c r="M217" s="112" t="s">
        <v>176</v>
      </c>
      <c r="N217" s="112" t="s">
        <v>176</v>
      </c>
      <c r="O217" s="112" t="s">
        <v>184</v>
      </c>
      <c r="P217" s="112" t="s">
        <v>184</v>
      </c>
      <c r="Q217" s="112" t="s">
        <v>177</v>
      </c>
      <c r="R217" s="112">
        <v>37940</v>
      </c>
      <c r="S217" s="112">
        <v>58260</v>
      </c>
      <c r="T217" s="113">
        <v>3896.44</v>
      </c>
      <c r="U217" s="113">
        <v>3896.44</v>
      </c>
      <c r="V217" s="113">
        <v>0</v>
      </c>
      <c r="W217" s="113">
        <v>0</v>
      </c>
      <c r="X217" s="112"/>
      <c r="Y217" s="113"/>
      <c r="Z217" s="117" t="str">
        <f>IF(H217&amp;J217="","CT-e COMPLEMENTAR",H217&amp;"/"&amp;J217)</f>
        <v>PARANAGUA/LAPA</v>
      </c>
      <c r="AA217" s="117">
        <f>IFERROR(_xlfn.XLOOKUP(Z217,Rotas!C:C,Rotas!D:D),"0")</f>
        <v>153</v>
      </c>
      <c r="AB217" s="118" t="str">
        <f>IF(AC217=0,"SUBCONTRATADO","BWT")</f>
        <v>BWT</v>
      </c>
      <c r="AC217" s="119" t="str" cm="1">
        <f t="array" ref="AC217">IFERROR(
INDEX(
_xlfn._xlws.FILTER(
BWT!$C$1:$C$100,
ISNUMBER(FIND(
SUBSTITUTE(BWT!$C$1:$C$100," ",""),
SUBSTITUTE(SUBSTITUTE(SUBSTITUTE(F217," ",""),"-",""),CHAR(160),"")
))
),
1
),
"")</f>
        <v>BDF9C15</v>
      </c>
    </row>
    <row r="218" spans="1:29" hidden="1" x14ac:dyDescent="0.3">
      <c r="A218" s="112" t="s">
        <v>961</v>
      </c>
      <c r="B218" s="112" t="s">
        <v>165</v>
      </c>
      <c r="C218" s="112" t="s">
        <v>878</v>
      </c>
      <c r="D218" s="112" t="s">
        <v>962</v>
      </c>
      <c r="E218" s="112" t="s">
        <v>963</v>
      </c>
      <c r="F218" s="112" t="s">
        <v>466</v>
      </c>
      <c r="G218" s="112" t="s">
        <v>467</v>
      </c>
      <c r="H218" s="112" t="s">
        <v>171</v>
      </c>
      <c r="I218" s="112" t="s">
        <v>172</v>
      </c>
      <c r="J218" s="112" t="s">
        <v>876</v>
      </c>
      <c r="K218" s="112" t="s">
        <v>232</v>
      </c>
      <c r="L218" s="112" t="s">
        <v>244</v>
      </c>
      <c r="M218" s="112" t="s">
        <v>244</v>
      </c>
      <c r="N218" s="112" t="s">
        <v>244</v>
      </c>
      <c r="O218" s="112" t="s">
        <v>217</v>
      </c>
      <c r="P218" s="112" t="s">
        <v>217</v>
      </c>
      <c r="Q218" s="112" t="s">
        <v>498</v>
      </c>
      <c r="R218" s="112">
        <v>58102</v>
      </c>
      <c r="S218" s="112">
        <v>47777</v>
      </c>
      <c r="T218" s="113">
        <v>9524.08</v>
      </c>
      <c r="U218" s="113">
        <v>9524.08</v>
      </c>
      <c r="V218" s="113">
        <v>0</v>
      </c>
      <c r="W218" s="113">
        <v>0</v>
      </c>
      <c r="X218" s="121">
        <v>0.12</v>
      </c>
      <c r="Y218" s="113">
        <v>9524.08</v>
      </c>
      <c r="Z218" s="87" t="str">
        <f t="shared" ref="Z218:Z233" si="22">IF(H218&amp;J218="","CT-e COMPLEMENTAR",H218&amp;"/"&amp;J218)</f>
        <v>PARANAGUA/PRESIDENTE PRUDENTE</v>
      </c>
      <c r="AA218" s="87">
        <f>IFERROR(_xlfn.XLOOKUP(Z218,Rotas!C:C,Rotas!D:D),"0")</f>
        <v>647</v>
      </c>
      <c r="AB218" s="88" t="str">
        <f t="shared" ref="AB218:AB233" si="23">IF(AC218=0,"SUBCONTRATADO","BWT")</f>
        <v>BWT</v>
      </c>
      <c r="AC218" s="21" t="str" cm="1">
        <f t="array" ref="AC218">IFERROR(
INDEX(
_xlfn._xlws.FILTER(
BWT!$C$1:$C$100,
ISNUMBER(FIND(
SUBSTITUTE(BWT!$C$1:$C$100," ",""),
SUBSTITUTE(SUBSTITUTE(SUBSTITUTE(F218," ",""),"-",""),CHAR(160),"")
))
),
1
),
"")</f>
        <v>BDQ4E18</v>
      </c>
    </row>
    <row r="219" spans="1:29" hidden="1" x14ac:dyDescent="0.3">
      <c r="A219" s="112" t="s">
        <v>964</v>
      </c>
      <c r="B219" s="112" t="s">
        <v>165</v>
      </c>
      <c r="C219" s="112" t="s">
        <v>878</v>
      </c>
      <c r="D219" s="112" t="s">
        <v>965</v>
      </c>
      <c r="E219" s="112" t="s">
        <v>966</v>
      </c>
      <c r="F219" s="112" t="s">
        <v>967</v>
      </c>
      <c r="G219" s="112" t="s">
        <v>371</v>
      </c>
      <c r="H219" s="112" t="s">
        <v>171</v>
      </c>
      <c r="I219" s="112" t="s">
        <v>172</v>
      </c>
      <c r="J219" s="112" t="s">
        <v>183</v>
      </c>
      <c r="K219" s="112" t="s">
        <v>172</v>
      </c>
      <c r="L219" s="112" t="s">
        <v>184</v>
      </c>
      <c r="M219" s="112" t="s">
        <v>176</v>
      </c>
      <c r="N219" s="112" t="s">
        <v>176</v>
      </c>
      <c r="O219" s="112" t="s">
        <v>184</v>
      </c>
      <c r="P219" s="112" t="s">
        <v>184</v>
      </c>
      <c r="Q219" s="112" t="s">
        <v>177</v>
      </c>
      <c r="R219" s="112">
        <v>48520</v>
      </c>
      <c r="S219" s="112">
        <v>73880</v>
      </c>
      <c r="T219" s="113">
        <v>4446.8599999999997</v>
      </c>
      <c r="U219" s="113">
        <v>4446.8599999999997</v>
      </c>
      <c r="V219" s="113">
        <v>0</v>
      </c>
      <c r="W219" s="113">
        <v>0</v>
      </c>
      <c r="X219" s="112"/>
      <c r="Y219" s="113"/>
      <c r="Z219" s="87" t="str">
        <f t="shared" si="22"/>
        <v>PARANAGUA/LAPA</v>
      </c>
      <c r="AA219" s="87">
        <f>IFERROR(_xlfn.XLOOKUP(Z219,Rotas!C:C,Rotas!D:D),"0")</f>
        <v>153</v>
      </c>
      <c r="AB219" s="88" t="str">
        <f t="shared" si="23"/>
        <v>BWT</v>
      </c>
      <c r="AC219" s="21" t="str" cm="1">
        <f t="array" ref="AC219">IFERROR(
INDEX(
_xlfn._xlws.FILTER(
BWT!$C$1:$C$100,
ISNUMBER(FIND(
SUBSTITUTE(BWT!$C$1:$C$100," ",""),
SUBSTITUTE(SUBSTITUTE(SUBSTITUTE(F219," ",""),"-",""),CHAR(160),"")
))
),
1
),
"")</f>
        <v>BDQ4E39</v>
      </c>
    </row>
    <row r="220" spans="1:29" hidden="1" x14ac:dyDescent="0.3">
      <c r="A220" s="112" t="s">
        <v>968</v>
      </c>
      <c r="B220" s="112" t="s">
        <v>165</v>
      </c>
      <c r="C220" s="112" t="s">
        <v>878</v>
      </c>
      <c r="D220" s="112" t="s">
        <v>969</v>
      </c>
      <c r="E220" s="112" t="s">
        <v>970</v>
      </c>
      <c r="F220" s="112" t="s">
        <v>971</v>
      </c>
      <c r="G220" s="112" t="s">
        <v>268</v>
      </c>
      <c r="H220" s="112" t="s">
        <v>171</v>
      </c>
      <c r="I220" s="112" t="s">
        <v>172</v>
      </c>
      <c r="J220" s="112" t="s">
        <v>183</v>
      </c>
      <c r="K220" s="112" t="s">
        <v>172</v>
      </c>
      <c r="L220" s="112" t="s">
        <v>184</v>
      </c>
      <c r="M220" s="112" t="s">
        <v>176</v>
      </c>
      <c r="N220" s="112" t="s">
        <v>176</v>
      </c>
      <c r="O220" s="112" t="s">
        <v>184</v>
      </c>
      <c r="P220" s="112" t="s">
        <v>184</v>
      </c>
      <c r="Q220" s="112" t="s">
        <v>177</v>
      </c>
      <c r="R220" s="112">
        <v>38400</v>
      </c>
      <c r="S220" s="112">
        <v>58380</v>
      </c>
      <c r="T220" s="113">
        <v>3943.68</v>
      </c>
      <c r="U220" s="113">
        <v>3943.68</v>
      </c>
      <c r="V220" s="113">
        <v>0</v>
      </c>
      <c r="W220" s="113">
        <v>0</v>
      </c>
      <c r="X220" s="112"/>
      <c r="Y220" s="113"/>
      <c r="Z220" s="87" t="str">
        <f t="shared" si="22"/>
        <v>PARANAGUA/LAPA</v>
      </c>
      <c r="AA220" s="87">
        <f>IFERROR(_xlfn.XLOOKUP(Z220,Rotas!C:C,Rotas!D:D),"0")</f>
        <v>153</v>
      </c>
      <c r="AB220" s="88" t="str">
        <f t="shared" si="23"/>
        <v>BWT</v>
      </c>
      <c r="AC220" s="21" t="str" cm="1">
        <f t="array" ref="AC220">IFERROR(
INDEX(
_xlfn._xlws.FILTER(
BWT!$C$1:$C$100,
ISNUMBER(FIND(
SUBSTITUTE(BWT!$C$1:$C$100," ",""),
SUBSTITUTE(SUBSTITUTE(SUBSTITUTE(F220," ",""),"-",""),CHAR(160),"")
))
),
1
),
"")</f>
        <v>BBM5I48</v>
      </c>
    </row>
    <row r="221" spans="1:29" hidden="1" x14ac:dyDescent="0.3">
      <c r="A221" s="112" t="s">
        <v>972</v>
      </c>
      <c r="B221" s="112" t="s">
        <v>165</v>
      </c>
      <c r="C221" s="112" t="s">
        <v>878</v>
      </c>
      <c r="D221" s="112" t="s">
        <v>973</v>
      </c>
      <c r="E221" s="112" t="s">
        <v>974</v>
      </c>
      <c r="F221" s="112" t="s">
        <v>975</v>
      </c>
      <c r="G221" s="112" t="s">
        <v>644</v>
      </c>
      <c r="H221" s="112" t="s">
        <v>171</v>
      </c>
      <c r="I221" s="112" t="s">
        <v>172</v>
      </c>
      <c r="J221" s="112" t="s">
        <v>173</v>
      </c>
      <c r="K221" s="112" t="s">
        <v>174</v>
      </c>
      <c r="L221" s="112" t="s">
        <v>175</v>
      </c>
      <c r="M221" s="112" t="s">
        <v>176</v>
      </c>
      <c r="N221" s="112" t="s">
        <v>176</v>
      </c>
      <c r="O221" s="112" t="s">
        <v>175</v>
      </c>
      <c r="P221" s="112" t="s">
        <v>175</v>
      </c>
      <c r="Q221" s="112" t="s">
        <v>177</v>
      </c>
      <c r="R221" s="112">
        <v>33060</v>
      </c>
      <c r="S221" s="112">
        <v>51540</v>
      </c>
      <c r="T221" s="113">
        <v>7405.44</v>
      </c>
      <c r="U221" s="113">
        <v>6229.29</v>
      </c>
      <c r="V221" s="113">
        <v>326.7</v>
      </c>
      <c r="W221" s="113">
        <v>849.45</v>
      </c>
      <c r="X221" s="121">
        <v>0.12</v>
      </c>
      <c r="Y221" s="113">
        <v>7078.74</v>
      </c>
      <c r="Z221" s="87" t="str">
        <f t="shared" si="22"/>
        <v>PARANAGUA/IJUI</v>
      </c>
      <c r="AA221" s="87">
        <f>IFERROR(_xlfn.XLOOKUP(Z221,Rotas!C:C,Rotas!D:D),"0")</f>
        <v>800</v>
      </c>
      <c r="AB221" s="88" t="str">
        <f t="shared" si="23"/>
        <v>BWT</v>
      </c>
      <c r="AC221" s="21" t="str" cm="1">
        <f t="array" ref="AC221">IFERROR(
INDEX(
_xlfn._xlws.FILTER(
BWT!$C$1:$C$100,
ISNUMBER(FIND(
SUBSTITUTE(BWT!$C$1:$C$100," ",""),
SUBSTITUTE(SUBSTITUTE(SUBSTITUTE(F221," ",""),"-",""),CHAR(160),"")
))
),
1
),
"")</f>
        <v>BBL9D24</v>
      </c>
    </row>
    <row r="222" spans="1:29" hidden="1" x14ac:dyDescent="0.3">
      <c r="A222" s="112" t="s">
        <v>976</v>
      </c>
      <c r="B222" s="112" t="s">
        <v>165</v>
      </c>
      <c r="C222" s="112" t="s">
        <v>878</v>
      </c>
      <c r="D222" s="112" t="s">
        <v>977</v>
      </c>
      <c r="E222" s="112" t="s">
        <v>978</v>
      </c>
      <c r="F222" s="112" t="s">
        <v>769</v>
      </c>
      <c r="G222" s="112" t="s">
        <v>487</v>
      </c>
      <c r="H222" s="112" t="s">
        <v>171</v>
      </c>
      <c r="I222" s="112" t="s">
        <v>172</v>
      </c>
      <c r="J222" s="112" t="s">
        <v>183</v>
      </c>
      <c r="K222" s="112" t="s">
        <v>172</v>
      </c>
      <c r="L222" s="112" t="s">
        <v>184</v>
      </c>
      <c r="M222" s="112" t="s">
        <v>176</v>
      </c>
      <c r="N222" s="112" t="s">
        <v>176</v>
      </c>
      <c r="O222" s="112" t="s">
        <v>184</v>
      </c>
      <c r="P222" s="112" t="s">
        <v>184</v>
      </c>
      <c r="Q222" s="112" t="s">
        <v>177</v>
      </c>
      <c r="R222" s="112">
        <v>38941</v>
      </c>
      <c r="S222" s="112">
        <v>58301</v>
      </c>
      <c r="T222" s="113">
        <v>3999.24</v>
      </c>
      <c r="U222" s="113">
        <v>3999.24</v>
      </c>
      <c r="V222" s="113">
        <v>0</v>
      </c>
      <c r="W222" s="113">
        <v>0</v>
      </c>
      <c r="X222" s="112"/>
      <c r="Y222" s="113"/>
      <c r="Z222" s="87" t="str">
        <f t="shared" si="22"/>
        <v>PARANAGUA/LAPA</v>
      </c>
      <c r="AA222" s="87">
        <f>IFERROR(_xlfn.XLOOKUP(Z222,Rotas!C:C,Rotas!D:D),"0")</f>
        <v>153</v>
      </c>
      <c r="AB222" s="88" t="str">
        <f t="shared" si="23"/>
        <v>SUBCONTRATADO</v>
      </c>
      <c r="AC222" s="21" cm="1">
        <f t="array" ref="AC222">IFERROR(
INDEX(
_xlfn._xlws.FILTER(
BWT!$C$1:$C$100,
ISNUMBER(FIND(
SUBSTITUTE(BWT!$C$1:$C$100," ",""),
SUBSTITUTE(SUBSTITUTE(SUBSTITUTE(F222," ",""),"-",""),CHAR(160),"")
))
),
1
),
"")</f>
        <v>0</v>
      </c>
    </row>
    <row r="223" spans="1:29" hidden="1" x14ac:dyDescent="0.3">
      <c r="A223" s="112" t="s">
        <v>983</v>
      </c>
      <c r="B223" s="112" t="s">
        <v>236</v>
      </c>
      <c r="C223" s="112" t="s">
        <v>878</v>
      </c>
      <c r="D223" s="112" t="s">
        <v>984</v>
      </c>
      <c r="E223" s="112" t="s">
        <v>985</v>
      </c>
      <c r="F223" s="112" t="s">
        <v>340</v>
      </c>
      <c r="G223" s="112" t="s">
        <v>341</v>
      </c>
      <c r="H223" s="112" t="s">
        <v>272</v>
      </c>
      <c r="I223" s="112" t="s">
        <v>174</v>
      </c>
      <c r="J223" s="112" t="s">
        <v>281</v>
      </c>
      <c r="K223" s="112" t="s">
        <v>232</v>
      </c>
      <c r="L223" s="112" t="s">
        <v>854</v>
      </c>
      <c r="M223" s="112" t="s">
        <v>273</v>
      </c>
      <c r="N223" s="112" t="s">
        <v>273</v>
      </c>
      <c r="O223" s="112" t="s">
        <v>854</v>
      </c>
      <c r="P223" s="112" t="s">
        <v>854</v>
      </c>
      <c r="Q223" s="112" t="s">
        <v>246</v>
      </c>
      <c r="R223" s="112">
        <v>59722</v>
      </c>
      <c r="S223" s="112">
        <v>52490</v>
      </c>
      <c r="T223" s="113">
        <v>15821.26</v>
      </c>
      <c r="U223" s="113">
        <v>13922.71</v>
      </c>
      <c r="V223" s="113">
        <v>0</v>
      </c>
      <c r="W223" s="113">
        <v>1898.55</v>
      </c>
      <c r="X223" s="121">
        <v>0.12</v>
      </c>
      <c r="Y223" s="113">
        <v>15821.26</v>
      </c>
      <c r="Z223" s="87" t="str">
        <f t="shared" si="22"/>
        <v>MUITOS CAPOES/PAULINIA</v>
      </c>
      <c r="AA223" s="87">
        <f>IFERROR(_xlfn.XLOOKUP(Z223,Rotas!C:C,Rotas!D:D),"0")</f>
        <v>1002</v>
      </c>
      <c r="AB223" s="88" t="str">
        <f t="shared" si="23"/>
        <v>BWT</v>
      </c>
      <c r="AC223" s="21" t="str" cm="1">
        <f t="array" ref="AC223">IFERROR(
INDEX(
_xlfn._xlws.FILTER(
BWT!$C$1:$C$100,
ISNUMBER(FIND(
SUBSTITUTE(BWT!$C$1:$C$100," ",""),
SUBSTITUTE(SUBSTITUTE(SUBSTITUTE(F223," ",""),"-",""),CHAR(160),"")
))
),
1
),
"")</f>
        <v>RHI3D46</v>
      </c>
    </row>
    <row r="224" spans="1:29" x14ac:dyDescent="0.3">
      <c r="A224" s="112" t="s">
        <v>986</v>
      </c>
      <c r="B224" s="112" t="s">
        <v>236</v>
      </c>
      <c r="C224" s="112" t="s">
        <v>878</v>
      </c>
      <c r="D224" s="112" t="s">
        <v>987</v>
      </c>
      <c r="E224" s="112" t="s">
        <v>988</v>
      </c>
      <c r="F224" s="112" t="s">
        <v>375</v>
      </c>
      <c r="G224" s="112" t="s">
        <v>376</v>
      </c>
      <c r="H224" s="112" t="s">
        <v>173</v>
      </c>
      <c r="I224" s="112" t="s">
        <v>174</v>
      </c>
      <c r="J224" s="112" t="s">
        <v>786</v>
      </c>
      <c r="K224" s="112" t="s">
        <v>232</v>
      </c>
      <c r="L224" s="112" t="s">
        <v>787</v>
      </c>
      <c r="M224" s="112" t="s">
        <v>175</v>
      </c>
      <c r="N224" s="112" t="s">
        <v>175</v>
      </c>
      <c r="O224" s="112" t="s">
        <v>787</v>
      </c>
      <c r="P224" s="112" t="s">
        <v>787</v>
      </c>
      <c r="Q224" s="112" t="s">
        <v>246</v>
      </c>
      <c r="R224" s="112">
        <v>57606</v>
      </c>
      <c r="S224" s="112">
        <v>50500</v>
      </c>
      <c r="T224" s="113">
        <v>20162.099999999999</v>
      </c>
      <c r="U224" s="113">
        <v>17742.650000000001</v>
      </c>
      <c r="V224" s="113">
        <v>0</v>
      </c>
      <c r="W224" s="113">
        <v>2419.4499999999998</v>
      </c>
      <c r="X224" s="121">
        <v>0.12</v>
      </c>
      <c r="Y224" s="113">
        <v>20162.099999999999</v>
      </c>
      <c r="Z224" s="87" t="str">
        <f t="shared" si="22"/>
        <v>IJUI/BARUERI</v>
      </c>
      <c r="AA224" s="87">
        <f>IFERROR(_xlfn.XLOOKUP(Z224,Rotas!C:C,Rotas!D:D),"0")</f>
        <v>1120</v>
      </c>
      <c r="AB224" s="88" t="str">
        <f t="shared" si="23"/>
        <v>BWT</v>
      </c>
      <c r="AC224" s="21" t="str" cm="1">
        <f t="array" ref="AC224">IFERROR(
INDEX(
_xlfn._xlws.FILTER(
BWT!$C$1:$C$100,
ISNUMBER(FIND(
SUBSTITUTE(BWT!$C$1:$C$100," ",""),
SUBSTITUTE(SUBSTITUTE(SUBSTITUTE(F224," ",""),"-",""),CHAR(160),"")
))
),
1
),
"")</f>
        <v>BDQ4E23</v>
      </c>
    </row>
    <row r="225" spans="1:29" hidden="1" x14ac:dyDescent="0.3">
      <c r="A225" s="112" t="s">
        <v>1715</v>
      </c>
      <c r="B225" s="112" t="s">
        <v>226</v>
      </c>
      <c r="C225" s="112" t="s">
        <v>1716</v>
      </c>
      <c r="D225" s="112" t="s">
        <v>1717</v>
      </c>
      <c r="E225" s="112" t="s">
        <v>1718</v>
      </c>
      <c r="F225" s="112" t="s">
        <v>169</v>
      </c>
      <c r="G225" s="112" t="s">
        <v>170</v>
      </c>
      <c r="H225" s="112" t="s">
        <v>280</v>
      </c>
      <c r="I225" s="112" t="s">
        <v>232</v>
      </c>
      <c r="J225" s="112" t="s">
        <v>876</v>
      </c>
      <c r="K225" s="112" t="s">
        <v>232</v>
      </c>
      <c r="L225" s="112" t="s">
        <v>254</v>
      </c>
      <c r="M225" s="112" t="s">
        <v>254</v>
      </c>
      <c r="N225" s="112" t="s">
        <v>452</v>
      </c>
      <c r="O225" s="112" t="s">
        <v>217</v>
      </c>
      <c r="P225" s="112" t="s">
        <v>217</v>
      </c>
      <c r="Q225" s="112" t="s">
        <v>498</v>
      </c>
      <c r="R225" s="112">
        <v>56831</v>
      </c>
      <c r="S225" s="112">
        <v>47090</v>
      </c>
      <c r="T225" s="113">
        <v>11624.52</v>
      </c>
      <c r="U225" s="113">
        <v>10229.58</v>
      </c>
      <c r="V225" s="113">
        <v>0</v>
      </c>
      <c r="W225" s="113">
        <v>1394.94</v>
      </c>
      <c r="X225" s="121">
        <v>0.12</v>
      </c>
      <c r="Y225" s="113">
        <v>11624.52</v>
      </c>
      <c r="Z225" s="87" t="str">
        <f t="shared" si="22"/>
        <v>SANTOS/PRESIDENTE PRUDENTE</v>
      </c>
      <c r="AA225" s="87">
        <f>IFERROR(_xlfn.XLOOKUP(Z225,Rotas!C:C,Rotas!D:D),"0")</f>
        <v>641</v>
      </c>
      <c r="AB225" s="88" t="str">
        <f t="shared" si="23"/>
        <v>BWT</v>
      </c>
      <c r="AC225" s="21" t="str" cm="1">
        <f t="array" ref="AC225">IFERROR(
INDEX(
_xlfn._xlws.FILTER(
BWT!$C$1:$C$100,
ISNUMBER(FIND(
SUBSTITUTE(BWT!$C$1:$C$100," ",""),
SUBSTITUTE(SUBSTITUTE(SUBSTITUTE(F225," ",""),"-",""),CHAR(160),"")
))
),
1
),
"")</f>
        <v>SEY8B43</v>
      </c>
    </row>
    <row r="226" spans="1:29" hidden="1" x14ac:dyDescent="0.3">
      <c r="A226" s="112" t="s">
        <v>1719</v>
      </c>
      <c r="B226" s="112" t="s">
        <v>226</v>
      </c>
      <c r="C226" s="112" t="s">
        <v>1716</v>
      </c>
      <c r="D226" s="112" t="s">
        <v>1720</v>
      </c>
      <c r="E226" s="112" t="s">
        <v>1721</v>
      </c>
      <c r="F226" s="112" t="s">
        <v>861</v>
      </c>
      <c r="G226" s="112" t="s">
        <v>681</v>
      </c>
      <c r="H226" s="112" t="s">
        <v>280</v>
      </c>
      <c r="I226" s="112" t="s">
        <v>232</v>
      </c>
      <c r="J226" s="112" t="s">
        <v>876</v>
      </c>
      <c r="K226" s="112" t="s">
        <v>232</v>
      </c>
      <c r="L226" s="112" t="s">
        <v>254</v>
      </c>
      <c r="M226" s="112" t="s">
        <v>254</v>
      </c>
      <c r="N226" s="112" t="s">
        <v>452</v>
      </c>
      <c r="O226" s="112" t="s">
        <v>217</v>
      </c>
      <c r="P226" s="112" t="s">
        <v>217</v>
      </c>
      <c r="Q226" s="112" t="s">
        <v>498</v>
      </c>
      <c r="R226" s="112">
        <v>56481</v>
      </c>
      <c r="S226" s="112">
        <v>46800</v>
      </c>
      <c r="T226" s="113">
        <v>11552.93</v>
      </c>
      <c r="U226" s="113">
        <v>10166.58</v>
      </c>
      <c r="V226" s="113">
        <v>0</v>
      </c>
      <c r="W226" s="113">
        <v>1386.35</v>
      </c>
      <c r="X226" s="121">
        <v>0.12</v>
      </c>
      <c r="Y226" s="113">
        <v>11552.93</v>
      </c>
      <c r="Z226" s="87" t="str">
        <f t="shared" si="22"/>
        <v>SANTOS/PRESIDENTE PRUDENTE</v>
      </c>
      <c r="AA226" s="87">
        <f>IFERROR(_xlfn.XLOOKUP(Z226,Rotas!C:C,Rotas!D:D),"0")</f>
        <v>641</v>
      </c>
      <c r="AB226" s="88" t="str">
        <f t="shared" si="23"/>
        <v>BWT</v>
      </c>
      <c r="AC226" s="21" t="str" cm="1">
        <f t="array" ref="AC226">IFERROR(
INDEX(
_xlfn._xlws.FILTER(
BWT!$C$1:$C$100,
ISNUMBER(FIND(
SUBSTITUTE(BWT!$C$1:$C$100," ",""),
SUBSTITUTE(SUBSTITUTE(SUBSTITUTE(F226," ",""),"-",""),CHAR(160),"")
))
),
1
),
"")</f>
        <v>TAW2A65</v>
      </c>
    </row>
    <row r="227" spans="1:29" hidden="1" x14ac:dyDescent="0.3">
      <c r="A227" s="112" t="s">
        <v>1722</v>
      </c>
      <c r="B227" s="112" t="s">
        <v>226</v>
      </c>
      <c r="C227" s="112" t="s">
        <v>1716</v>
      </c>
      <c r="D227" s="112" t="s">
        <v>1723</v>
      </c>
      <c r="E227" s="112" t="s">
        <v>1724</v>
      </c>
      <c r="F227" s="112" t="s">
        <v>403</v>
      </c>
      <c r="G227" s="112" t="s">
        <v>404</v>
      </c>
      <c r="H227" s="112" t="s">
        <v>280</v>
      </c>
      <c r="I227" s="112" t="s">
        <v>232</v>
      </c>
      <c r="J227" s="112" t="s">
        <v>281</v>
      </c>
      <c r="K227" s="112" t="s">
        <v>232</v>
      </c>
      <c r="L227" s="112" t="s">
        <v>254</v>
      </c>
      <c r="M227" s="112" t="s">
        <v>254</v>
      </c>
      <c r="N227" s="112" t="s">
        <v>598</v>
      </c>
      <c r="O227" s="112" t="s">
        <v>217</v>
      </c>
      <c r="P227" s="112" t="s">
        <v>217</v>
      </c>
      <c r="Q227" s="112" t="s">
        <v>283</v>
      </c>
      <c r="R227" s="112">
        <v>63344</v>
      </c>
      <c r="S227" s="112">
        <v>44334</v>
      </c>
      <c r="T227" s="113">
        <v>3149.92</v>
      </c>
      <c r="U227" s="113">
        <v>2771.93</v>
      </c>
      <c r="V227" s="113">
        <v>0</v>
      </c>
      <c r="W227" s="113">
        <v>377.99</v>
      </c>
      <c r="X227" s="121">
        <v>0.12</v>
      </c>
      <c r="Y227" s="113">
        <v>3149.92</v>
      </c>
      <c r="Z227" s="87" t="str">
        <f t="shared" si="22"/>
        <v>SANTOS/PAULINIA</v>
      </c>
      <c r="AA227" s="87">
        <f>IFERROR(_xlfn.XLOOKUP(Z227,Rotas!C:C,Rotas!D:D),"0")</f>
        <v>215</v>
      </c>
      <c r="AB227" s="88" t="str">
        <f t="shared" si="23"/>
        <v>BWT</v>
      </c>
      <c r="AC227" s="21" t="str" cm="1">
        <f t="array" ref="AC227">IFERROR(
INDEX(
_xlfn._xlws.FILTER(
BWT!$C$1:$C$100,
ISNUMBER(FIND(
SUBSTITUTE(BWT!$C$1:$C$100," ",""),
SUBSTITUTE(SUBSTITUTE(SUBSTITUTE(F227," ",""),"-",""),CHAR(160),"")
))
),
1
),
"")</f>
        <v>SEE2J86</v>
      </c>
    </row>
    <row r="228" spans="1:29" hidden="1" x14ac:dyDescent="0.3">
      <c r="A228" s="112" t="s">
        <v>1725</v>
      </c>
      <c r="B228" s="112" t="s">
        <v>226</v>
      </c>
      <c r="C228" s="112" t="s">
        <v>1716</v>
      </c>
      <c r="D228" s="112" t="s">
        <v>1726</v>
      </c>
      <c r="E228" s="112" t="s">
        <v>1727</v>
      </c>
      <c r="F228" s="112" t="s">
        <v>251</v>
      </c>
      <c r="G228" s="112" t="s">
        <v>252</v>
      </c>
      <c r="H228" s="112" t="s">
        <v>280</v>
      </c>
      <c r="I228" s="112" t="s">
        <v>232</v>
      </c>
      <c r="J228" s="112" t="s">
        <v>281</v>
      </c>
      <c r="K228" s="112" t="s">
        <v>232</v>
      </c>
      <c r="L228" s="112" t="s">
        <v>254</v>
      </c>
      <c r="M228" s="112" t="s">
        <v>254</v>
      </c>
      <c r="N228" s="112" t="s">
        <v>598</v>
      </c>
      <c r="O228" s="112" t="s">
        <v>217</v>
      </c>
      <c r="P228" s="112" t="s">
        <v>217</v>
      </c>
      <c r="Q228" s="112" t="s">
        <v>283</v>
      </c>
      <c r="R228" s="112">
        <v>63290</v>
      </c>
      <c r="S228" s="112">
        <v>44297</v>
      </c>
      <c r="T228" s="113">
        <v>3150.11</v>
      </c>
      <c r="U228" s="113">
        <v>2772.1</v>
      </c>
      <c r="V228" s="113">
        <v>0</v>
      </c>
      <c r="W228" s="113">
        <v>378.01</v>
      </c>
      <c r="X228" s="121">
        <v>0.12</v>
      </c>
      <c r="Y228" s="113">
        <v>3150.11</v>
      </c>
      <c r="Z228" s="87" t="str">
        <f t="shared" si="22"/>
        <v>SANTOS/PAULINIA</v>
      </c>
      <c r="AA228" s="87">
        <f>IFERROR(_xlfn.XLOOKUP(Z228,Rotas!C:C,Rotas!D:D),"0")</f>
        <v>215</v>
      </c>
      <c r="AB228" s="88" t="str">
        <f t="shared" si="23"/>
        <v>BWT</v>
      </c>
      <c r="AC228" s="21" t="str" cm="1">
        <f t="array" ref="AC228">IFERROR(
INDEX(
_xlfn._xlws.FILTER(
BWT!$C$1:$C$100,
ISNUMBER(FIND(
SUBSTITUTE(BWT!$C$1:$C$100," ",""),
SUBSTITUTE(SUBSTITUTE(SUBSTITUTE(F228," ",""),"-",""),CHAR(160),"")
))
),
1
),
"")</f>
        <v>SEE2J88</v>
      </c>
    </row>
    <row r="229" spans="1:29" hidden="1" x14ac:dyDescent="0.3">
      <c r="A229" s="112" t="s">
        <v>1728</v>
      </c>
      <c r="B229" s="112" t="s">
        <v>226</v>
      </c>
      <c r="C229" s="112" t="s">
        <v>1716</v>
      </c>
      <c r="D229" s="112" t="s">
        <v>1729</v>
      </c>
      <c r="E229" s="112" t="s">
        <v>1730</v>
      </c>
      <c r="F229" s="112" t="s">
        <v>398</v>
      </c>
      <c r="G229" s="112" t="s">
        <v>399</v>
      </c>
      <c r="H229" s="112" t="s">
        <v>280</v>
      </c>
      <c r="I229" s="112" t="s">
        <v>232</v>
      </c>
      <c r="J229" s="112" t="s">
        <v>876</v>
      </c>
      <c r="K229" s="112" t="s">
        <v>232</v>
      </c>
      <c r="L229" s="112" t="s">
        <v>254</v>
      </c>
      <c r="M229" s="112" t="s">
        <v>254</v>
      </c>
      <c r="N229" s="112" t="s">
        <v>452</v>
      </c>
      <c r="O229" s="112" t="s">
        <v>217</v>
      </c>
      <c r="P229" s="112" t="s">
        <v>217</v>
      </c>
      <c r="Q229" s="112" t="s">
        <v>498</v>
      </c>
      <c r="R229" s="112">
        <v>55865</v>
      </c>
      <c r="S229" s="112">
        <v>46290</v>
      </c>
      <c r="T229" s="113">
        <v>11426.93</v>
      </c>
      <c r="U229" s="113">
        <v>10055.700000000001</v>
      </c>
      <c r="V229" s="113">
        <v>0</v>
      </c>
      <c r="W229" s="113">
        <v>1371.23</v>
      </c>
      <c r="X229" s="121">
        <v>0.12</v>
      </c>
      <c r="Y229" s="113">
        <v>11426.93</v>
      </c>
      <c r="Z229" s="87" t="str">
        <f t="shared" si="22"/>
        <v>SANTOS/PRESIDENTE PRUDENTE</v>
      </c>
      <c r="AA229" s="87">
        <f>IFERROR(_xlfn.XLOOKUP(Z229,Rotas!C:C,Rotas!D:D),"0")</f>
        <v>641</v>
      </c>
      <c r="AB229" s="88" t="str">
        <f t="shared" si="23"/>
        <v>BWT</v>
      </c>
      <c r="AC229" s="21" t="str" cm="1">
        <f t="array" ref="AC229">IFERROR(
INDEX(
_xlfn._xlws.FILTER(
BWT!$C$1:$C$100,
ISNUMBER(FIND(
SUBSTITUTE(BWT!$C$1:$C$100," ",""),
SUBSTITUTE(SUBSTITUTE(SUBSTITUTE(F229," ",""),"-",""),CHAR(160),"")
))
),
1
),
"")</f>
        <v>SED7D20</v>
      </c>
    </row>
    <row r="230" spans="1:29" hidden="1" x14ac:dyDescent="0.3">
      <c r="A230" s="112" t="s">
        <v>1731</v>
      </c>
      <c r="B230" s="112" t="s">
        <v>165</v>
      </c>
      <c r="C230" s="112" t="s">
        <v>1716</v>
      </c>
      <c r="D230" s="112" t="s">
        <v>1732</v>
      </c>
      <c r="E230" s="112" t="s">
        <v>1733</v>
      </c>
      <c r="F230" s="112" t="s">
        <v>590</v>
      </c>
      <c r="G230" s="112" t="s">
        <v>591</v>
      </c>
      <c r="H230" s="112" t="s">
        <v>233</v>
      </c>
      <c r="I230" s="112" t="s">
        <v>172</v>
      </c>
      <c r="J230" s="112" t="s">
        <v>876</v>
      </c>
      <c r="K230" s="112" t="s">
        <v>232</v>
      </c>
      <c r="L230" s="112" t="s">
        <v>217</v>
      </c>
      <c r="M230" s="112" t="s">
        <v>217</v>
      </c>
      <c r="N230" s="112" t="s">
        <v>217</v>
      </c>
      <c r="O230" s="112" t="s">
        <v>217</v>
      </c>
      <c r="P230" s="112" t="s">
        <v>217</v>
      </c>
      <c r="Q230" s="112" t="s">
        <v>488</v>
      </c>
      <c r="R230" s="112">
        <v>60</v>
      </c>
      <c r="S230" s="112">
        <v>50580</v>
      </c>
      <c r="T230" s="113">
        <v>10727.05</v>
      </c>
      <c r="U230" s="113">
        <v>9439.7999999999993</v>
      </c>
      <c r="V230" s="113">
        <v>0</v>
      </c>
      <c r="W230" s="113">
        <v>1287.25</v>
      </c>
      <c r="X230" s="121">
        <v>0.12</v>
      </c>
      <c r="Y230" s="113">
        <v>10727.05</v>
      </c>
      <c r="Z230" s="87" t="str">
        <f t="shared" si="22"/>
        <v>ARAUCARIA/PRESIDENTE PRUDENTE</v>
      </c>
      <c r="AA230" s="87">
        <f>IFERROR(_xlfn.XLOOKUP(Z230,Rotas!C:C,Rotas!D:D),"0")</f>
        <v>543</v>
      </c>
      <c r="AB230" s="88" t="str">
        <f t="shared" si="23"/>
        <v>BWT</v>
      </c>
      <c r="AC230" s="21" t="str" cm="1">
        <f t="array" ref="AC230">IFERROR(
INDEX(
_xlfn._xlws.FILTER(
BWT!$C$1:$C$100,
ISNUMBER(FIND(
SUBSTITUTE(BWT!$C$1:$C$100," ",""),
SUBSTITUTE(SUBSTITUTE(SUBSTITUTE(F230," ",""),"-",""),CHAR(160),"")
))
),
1
),
"")</f>
        <v>RHH5C95</v>
      </c>
    </row>
    <row r="231" spans="1:29" hidden="1" x14ac:dyDescent="0.3">
      <c r="A231" s="112" t="s">
        <v>1734</v>
      </c>
      <c r="B231" s="112" t="s">
        <v>165</v>
      </c>
      <c r="C231" s="112" t="s">
        <v>1716</v>
      </c>
      <c r="D231" s="112" t="s">
        <v>1735</v>
      </c>
      <c r="E231" s="112" t="s">
        <v>1736</v>
      </c>
      <c r="F231" s="112" t="s">
        <v>1804</v>
      </c>
      <c r="G231" s="112" t="s">
        <v>462</v>
      </c>
      <c r="H231" s="112" t="s">
        <v>233</v>
      </c>
      <c r="I231" s="112" t="s">
        <v>172</v>
      </c>
      <c r="J231" s="112" t="s">
        <v>876</v>
      </c>
      <c r="K231" s="112" t="s">
        <v>232</v>
      </c>
      <c r="L231" s="112" t="s">
        <v>217</v>
      </c>
      <c r="M231" s="112" t="s">
        <v>217</v>
      </c>
      <c r="N231" s="112" t="s">
        <v>217</v>
      </c>
      <c r="O231" s="112" t="s">
        <v>217</v>
      </c>
      <c r="P231" s="112" t="s">
        <v>217</v>
      </c>
      <c r="Q231" s="112" t="s">
        <v>488</v>
      </c>
      <c r="R231" s="112">
        <v>60</v>
      </c>
      <c r="S231" s="112">
        <v>50316</v>
      </c>
      <c r="T231" s="113">
        <v>10727.05</v>
      </c>
      <c r="U231" s="113">
        <v>9439.7999999999993</v>
      </c>
      <c r="V231" s="113">
        <v>0</v>
      </c>
      <c r="W231" s="113">
        <v>1287.25</v>
      </c>
      <c r="X231" s="121">
        <v>0.12</v>
      </c>
      <c r="Y231" s="113">
        <v>10727.05</v>
      </c>
      <c r="Z231" s="87" t="str">
        <f t="shared" si="22"/>
        <v>ARAUCARIA/PRESIDENTE PRUDENTE</v>
      </c>
      <c r="AA231" s="87">
        <f>IFERROR(_xlfn.XLOOKUP(Z231,Rotas!C:C,Rotas!D:D),"0")</f>
        <v>543</v>
      </c>
      <c r="AB231" s="88" t="str">
        <f t="shared" si="23"/>
        <v>BWT</v>
      </c>
      <c r="AC231" s="21" t="str" cm="1">
        <f t="array" ref="AC231">IFERROR(
INDEX(
_xlfn._xlws.FILTER(
BWT!$C$1:$C$100,
ISNUMBER(FIND(
SUBSTITUTE(BWT!$C$1:$C$100," ",""),
SUBSTITUTE(SUBSTITUTE(SUBSTITUTE(F231," ",""),"-",""),CHAR(160),"")
))
),
1
),
"")</f>
        <v>RHH5D97</v>
      </c>
    </row>
    <row r="232" spans="1:29" hidden="1" x14ac:dyDescent="0.3">
      <c r="A232" s="112" t="s">
        <v>1737</v>
      </c>
      <c r="B232" s="112" t="s">
        <v>165</v>
      </c>
      <c r="C232" s="112" t="s">
        <v>1716</v>
      </c>
      <c r="D232" s="112" t="s">
        <v>1738</v>
      </c>
      <c r="E232" s="112" t="s">
        <v>1739</v>
      </c>
      <c r="F232" s="112" t="s">
        <v>239</v>
      </c>
      <c r="G232" s="112" t="s">
        <v>240</v>
      </c>
      <c r="H232" s="112" t="s">
        <v>171</v>
      </c>
      <c r="I232" s="112" t="s">
        <v>172</v>
      </c>
      <c r="J232" s="112" t="s">
        <v>173</v>
      </c>
      <c r="K232" s="112" t="s">
        <v>174</v>
      </c>
      <c r="L232" s="112" t="s">
        <v>175</v>
      </c>
      <c r="M232" s="112" t="s">
        <v>176</v>
      </c>
      <c r="N232" s="112" t="s">
        <v>176</v>
      </c>
      <c r="O232" s="112" t="s">
        <v>175</v>
      </c>
      <c r="P232" s="112" t="s">
        <v>175</v>
      </c>
      <c r="Q232" s="112" t="s">
        <v>177</v>
      </c>
      <c r="R232" s="112">
        <v>47828</v>
      </c>
      <c r="S232" s="112">
        <v>73888</v>
      </c>
      <c r="T232" s="113">
        <v>10713.47</v>
      </c>
      <c r="U232" s="113">
        <v>9140.36</v>
      </c>
      <c r="V232" s="113">
        <v>326.7</v>
      </c>
      <c r="W232" s="113">
        <v>1246.4100000000001</v>
      </c>
      <c r="X232" s="121">
        <v>0.12</v>
      </c>
      <c r="Y232" s="113">
        <v>10386.77</v>
      </c>
      <c r="Z232" s="87" t="str">
        <f t="shared" si="22"/>
        <v>PARANAGUA/IJUI</v>
      </c>
      <c r="AA232" s="87">
        <f>IFERROR(_xlfn.XLOOKUP(Z232,Rotas!C:C,Rotas!D:D),"0")</f>
        <v>800</v>
      </c>
      <c r="AB232" s="88" t="str">
        <f t="shared" si="23"/>
        <v>BWT</v>
      </c>
      <c r="AC232" s="21" t="str" cm="1">
        <f t="array" ref="AC232">IFERROR(
INDEX(
_xlfn._xlws.FILTER(
BWT!$C$1:$C$100,
ISNUMBER(FIND(
SUBSTITUTE(BWT!$C$1:$C$100," ",""),
SUBSTITUTE(SUBSTITUTE(SUBSTITUTE(F232," ",""),"-",""),CHAR(160),"")
))
),
1
),
"")</f>
        <v>SEE3G48</v>
      </c>
    </row>
    <row r="233" spans="1:29" hidden="1" x14ac:dyDescent="0.3">
      <c r="A233" s="112" t="s">
        <v>1740</v>
      </c>
      <c r="B233" s="112" t="s">
        <v>469</v>
      </c>
      <c r="C233" s="112" t="s">
        <v>1716</v>
      </c>
      <c r="D233" s="112" t="s">
        <v>1741</v>
      </c>
      <c r="E233" s="112" t="s">
        <v>1742</v>
      </c>
      <c r="F233" s="112" t="s">
        <v>239</v>
      </c>
      <c r="G233" s="112" t="s">
        <v>240</v>
      </c>
      <c r="H233" s="112" t="s">
        <v>242</v>
      </c>
      <c r="I233" s="112" t="s">
        <v>243</v>
      </c>
      <c r="J233" s="112" t="s">
        <v>233</v>
      </c>
      <c r="K233" s="112" t="s">
        <v>172</v>
      </c>
      <c r="L233" s="112" t="s">
        <v>217</v>
      </c>
      <c r="M233" s="112" t="s">
        <v>244</v>
      </c>
      <c r="N233" s="112" t="s">
        <v>244</v>
      </c>
      <c r="O233" s="112" t="s">
        <v>217</v>
      </c>
      <c r="P233" s="112" t="s">
        <v>217</v>
      </c>
      <c r="Q233" s="112" t="s">
        <v>488</v>
      </c>
      <c r="R233" s="112">
        <v>60</v>
      </c>
      <c r="S233" s="112">
        <v>47400</v>
      </c>
      <c r="T233" s="113">
        <v>2851.2</v>
      </c>
      <c r="U233" s="113">
        <v>2851.2</v>
      </c>
      <c r="V233" s="113">
        <v>0</v>
      </c>
      <c r="W233" s="113">
        <v>0</v>
      </c>
      <c r="X233" s="121">
        <v>0.12</v>
      </c>
      <c r="Y233" s="113">
        <v>2851.2</v>
      </c>
      <c r="Z233" s="87" t="str">
        <f t="shared" si="22"/>
        <v>ITAJAI/ARAUCARIA</v>
      </c>
      <c r="AA233" s="87">
        <f>IFERROR(_xlfn.XLOOKUP(Z233,Rotas!C:C,Rotas!D:D),"0")</f>
        <v>223</v>
      </c>
      <c r="AB233" s="88" t="str">
        <f t="shared" si="23"/>
        <v>BWT</v>
      </c>
      <c r="AC233" s="21" t="str" cm="1">
        <f t="array" ref="AC233">IFERROR(
INDEX(
_xlfn._xlws.FILTER(
BWT!$C$1:$C$100,
ISNUMBER(FIND(
SUBSTITUTE(BWT!$C$1:$C$100," ",""),
SUBSTITUTE(SUBSTITUTE(SUBSTITUTE(F233," ",""),"-",""),CHAR(160),"")
))
),
1
),
"")</f>
        <v>SEE3G48</v>
      </c>
    </row>
  </sheetData>
  <conditionalFormatting sqref="E1 E234:E1048576">
    <cfRule type="duplicateValues" dxfId="44" priority="3"/>
  </conditionalFormatting>
  <conditionalFormatting sqref="E2:E233">
    <cfRule type="duplicateValues" dxfId="42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/>
  <dimension ref="A1:T156"/>
  <sheetViews>
    <sheetView topLeftCell="K121" workbookViewId="0">
      <selection activeCell="A2" sqref="A2:Q129"/>
    </sheetView>
  </sheetViews>
  <sheetFormatPr defaultRowHeight="14.4" x14ac:dyDescent="0.3"/>
  <cols>
    <col min="1" max="1" width="48.88671875" customWidth="1"/>
    <col min="2" max="2" width="71.88671875" bestFit="1" customWidth="1"/>
    <col min="3" max="3" width="18" customWidth="1"/>
    <col min="4" max="4" width="18.88671875" bestFit="1" customWidth="1"/>
    <col min="5" max="5" width="9" bestFit="1" customWidth="1"/>
    <col min="6" max="6" width="10.5546875" bestFit="1" customWidth="1"/>
    <col min="7" max="7" width="16.109375" customWidth="1"/>
    <col min="8" max="8" width="14.5546875" customWidth="1"/>
    <col min="9" max="9" width="21" bestFit="1" customWidth="1"/>
    <col min="10" max="10" width="19.33203125" style="7" bestFit="1" customWidth="1"/>
    <col min="11" max="11" width="20" bestFit="1" customWidth="1"/>
    <col min="12" max="12" width="18.6640625" bestFit="1" customWidth="1"/>
    <col min="13" max="18" width="20.5546875" customWidth="1"/>
    <col min="19" max="19" width="12.6640625" bestFit="1" customWidth="1"/>
    <col min="20" max="20" width="51.88671875" bestFit="1" customWidth="1"/>
  </cols>
  <sheetData>
    <row r="1" spans="1:20" x14ac:dyDescent="0.3">
      <c r="A1" s="1" t="s">
        <v>989</v>
      </c>
      <c r="B1" s="2" t="s">
        <v>4</v>
      </c>
      <c r="C1" s="2" t="s">
        <v>990</v>
      </c>
      <c r="D1" s="2" t="s">
        <v>991</v>
      </c>
      <c r="E1" s="2" t="s">
        <v>992</v>
      </c>
      <c r="F1" s="2" t="s">
        <v>2</v>
      </c>
      <c r="G1" s="2" t="s">
        <v>0</v>
      </c>
      <c r="H1" s="2" t="s">
        <v>993</v>
      </c>
      <c r="I1" s="2" t="s">
        <v>994</v>
      </c>
      <c r="J1" s="6" t="s">
        <v>995</v>
      </c>
      <c r="K1" s="3" t="s">
        <v>996</v>
      </c>
      <c r="L1" s="3" t="s">
        <v>997</v>
      </c>
      <c r="M1" s="3" t="s">
        <v>998</v>
      </c>
      <c r="N1" s="3" t="s">
        <v>999</v>
      </c>
      <c r="O1" s="3" t="s">
        <v>1000</v>
      </c>
      <c r="P1" s="3" t="s">
        <v>1001</v>
      </c>
      <c r="Q1" s="3" t="s">
        <v>1002</v>
      </c>
      <c r="R1" s="4" t="s">
        <v>1003</v>
      </c>
      <c r="S1" t="s">
        <v>1004</v>
      </c>
      <c r="T1" s="78" t="s">
        <v>4</v>
      </c>
    </row>
    <row r="2" spans="1:20" x14ac:dyDescent="0.3">
      <c r="A2" t="s">
        <v>1005</v>
      </c>
      <c r="B2" t="s">
        <v>1006</v>
      </c>
      <c r="C2" s="5">
        <v>46113.29755787037</v>
      </c>
      <c r="D2" s="5">
        <v>46124.826516203706</v>
      </c>
      <c r="E2">
        <v>206337</v>
      </c>
      <c r="F2" t="s">
        <v>75</v>
      </c>
      <c r="G2" t="s">
        <v>1007</v>
      </c>
      <c r="H2">
        <v>1671.19</v>
      </c>
      <c r="I2">
        <v>1292.22</v>
      </c>
      <c r="J2">
        <v>1.2932699999999999</v>
      </c>
      <c r="K2">
        <v>542897.13</v>
      </c>
      <c r="L2">
        <v>544568.13</v>
      </c>
      <c r="M2">
        <v>11.86</v>
      </c>
      <c r="N2">
        <v>13.56</v>
      </c>
      <c r="O2">
        <v>1.63</v>
      </c>
      <c r="P2">
        <v>8.32</v>
      </c>
      <c r="Q2">
        <v>0</v>
      </c>
      <c r="R2" s="18">
        <f t="shared" ref="R2:R33" si="0">L2-K2</f>
        <v>1671</v>
      </c>
      <c r="S2" s="19">
        <f t="shared" ref="S2:S33" si="1">H2/I2</f>
        <v>1.2932704957360202</v>
      </c>
      <c r="T2" t="str">
        <f>TRIM(B2)</f>
        <v>DANIEL EUFRAZIO - 245</v>
      </c>
    </row>
    <row r="3" spans="1:20" x14ac:dyDescent="0.3">
      <c r="A3" t="s">
        <v>1005</v>
      </c>
      <c r="B3" t="s">
        <v>1008</v>
      </c>
      <c r="C3" s="5">
        <v>46113.338472222225</v>
      </c>
      <c r="D3" s="5">
        <v>46125.322997685187</v>
      </c>
      <c r="E3">
        <v>205347</v>
      </c>
      <c r="F3" t="s">
        <v>66</v>
      </c>
      <c r="G3" t="s">
        <v>1007</v>
      </c>
      <c r="H3">
        <v>3022.03</v>
      </c>
      <c r="I3">
        <v>1914.53</v>
      </c>
      <c r="J3">
        <v>1.578471</v>
      </c>
      <c r="K3">
        <v>532718.85</v>
      </c>
      <c r="L3">
        <v>535740.71</v>
      </c>
      <c r="M3">
        <v>12.15</v>
      </c>
      <c r="N3">
        <v>29.59</v>
      </c>
      <c r="O3">
        <v>3.66</v>
      </c>
      <c r="P3">
        <v>10.09</v>
      </c>
      <c r="Q3">
        <v>0</v>
      </c>
      <c r="R3" s="18">
        <f t="shared" si="0"/>
        <v>3021.859999999986</v>
      </c>
      <c r="S3" s="19">
        <f t="shared" si="1"/>
        <v>1.5784709563182611</v>
      </c>
      <c r="T3" t="str">
        <f t="shared" ref="T3:T66" si="2">TRIM(B3)</f>
        <v>ADRIANO DAGNON - 247</v>
      </c>
    </row>
    <row r="4" spans="1:20" x14ac:dyDescent="0.3">
      <c r="A4" t="s">
        <v>1005</v>
      </c>
      <c r="B4" t="s">
        <v>1009</v>
      </c>
      <c r="C4" s="5">
        <v>46113.268946759257</v>
      </c>
      <c r="D4" s="5">
        <v>46123.539895833332</v>
      </c>
      <c r="E4">
        <v>229986</v>
      </c>
      <c r="F4" t="s">
        <v>94</v>
      </c>
      <c r="G4" t="s">
        <v>1010</v>
      </c>
      <c r="H4">
        <v>3325.54</v>
      </c>
      <c r="I4">
        <v>2053.83</v>
      </c>
      <c r="J4">
        <v>1.6191899999999999</v>
      </c>
      <c r="K4">
        <v>90628.800000000003</v>
      </c>
      <c r="L4">
        <v>93957.88</v>
      </c>
      <c r="M4">
        <v>4.58</v>
      </c>
      <c r="N4">
        <v>35.97</v>
      </c>
      <c r="O4">
        <v>1.31</v>
      </c>
      <c r="P4">
        <v>5.97</v>
      </c>
      <c r="Q4">
        <v>0</v>
      </c>
      <c r="R4" s="18">
        <f t="shared" si="0"/>
        <v>3329.0800000000017</v>
      </c>
      <c r="S4" s="19">
        <f t="shared" si="1"/>
        <v>1.6191895142246437</v>
      </c>
      <c r="T4" t="str">
        <f t="shared" si="2"/>
        <v>ALCIONE DE CASTRO - 180</v>
      </c>
    </row>
    <row r="5" spans="1:20" x14ac:dyDescent="0.3">
      <c r="A5" t="s">
        <v>1005</v>
      </c>
      <c r="B5" t="s">
        <v>1011</v>
      </c>
      <c r="C5" s="5">
        <v>46113.325416666667</v>
      </c>
      <c r="D5" s="5">
        <v>46124.573599537034</v>
      </c>
      <c r="E5">
        <v>192839</v>
      </c>
      <c r="F5" t="s">
        <v>81</v>
      </c>
      <c r="G5" t="s">
        <v>1012</v>
      </c>
      <c r="H5">
        <v>3763.74</v>
      </c>
      <c r="I5">
        <v>2327.86</v>
      </c>
      <c r="J5">
        <v>1.616824</v>
      </c>
      <c r="K5">
        <v>185122</v>
      </c>
      <c r="L5">
        <v>188885.48</v>
      </c>
      <c r="M5">
        <v>4.79</v>
      </c>
      <c r="N5">
        <v>35.31</v>
      </c>
      <c r="O5">
        <v>2.54</v>
      </c>
      <c r="P5">
        <v>9.5399999999999991</v>
      </c>
      <c r="Q5">
        <v>0</v>
      </c>
      <c r="R5" s="18">
        <f t="shared" si="0"/>
        <v>3763.4800000000105</v>
      </c>
      <c r="S5" s="19">
        <f t="shared" si="1"/>
        <v>1.6168240358097135</v>
      </c>
      <c r="T5" t="str">
        <f t="shared" si="2"/>
        <v>ALEX DE OLIVEIRA RODRIGUES - 50100</v>
      </c>
    </row>
    <row r="6" spans="1:20" x14ac:dyDescent="0.3">
      <c r="A6" t="s">
        <v>1005</v>
      </c>
      <c r="B6" t="s">
        <v>1013</v>
      </c>
      <c r="C6" s="5">
        <v>46113.319398148145</v>
      </c>
      <c r="D6" s="5">
        <v>46122.428379629629</v>
      </c>
      <c r="E6">
        <v>229501</v>
      </c>
      <c r="F6" t="s">
        <v>101</v>
      </c>
      <c r="G6" t="s">
        <v>1010</v>
      </c>
      <c r="H6">
        <v>2396.15</v>
      </c>
      <c r="I6">
        <v>1361.57</v>
      </c>
      <c r="J6">
        <v>1.759843</v>
      </c>
      <c r="K6">
        <v>107526.61</v>
      </c>
      <c r="L6">
        <v>109922.57</v>
      </c>
      <c r="M6">
        <v>2.46</v>
      </c>
      <c r="N6">
        <v>28.89</v>
      </c>
      <c r="O6">
        <v>0.43</v>
      </c>
      <c r="P6">
        <v>0.34</v>
      </c>
      <c r="Q6">
        <v>0</v>
      </c>
      <c r="R6" s="18">
        <f t="shared" si="0"/>
        <v>2395.9600000000064</v>
      </c>
      <c r="S6" s="19">
        <f t="shared" si="1"/>
        <v>1.7598434160564644</v>
      </c>
      <c r="T6" t="str">
        <f t="shared" si="2"/>
        <v>AMAURI DOS SANTOS PEREIRA - 240</v>
      </c>
    </row>
    <row r="7" spans="1:20" x14ac:dyDescent="0.3">
      <c r="A7" t="s">
        <v>1005</v>
      </c>
      <c r="B7" t="s">
        <v>1014</v>
      </c>
      <c r="C7" s="5">
        <v>46113.249548611115</v>
      </c>
      <c r="D7" s="5">
        <v>46120.677037037036</v>
      </c>
      <c r="E7">
        <v>200789</v>
      </c>
      <c r="F7" t="s">
        <v>93</v>
      </c>
      <c r="G7" t="s">
        <v>1015</v>
      </c>
      <c r="H7">
        <v>1783.25</v>
      </c>
      <c r="I7">
        <v>1373.76</v>
      </c>
      <c r="J7">
        <v>1.2980799999999999</v>
      </c>
      <c r="K7">
        <v>145832.57</v>
      </c>
      <c r="L7">
        <v>147615.66</v>
      </c>
      <c r="M7">
        <v>6.74</v>
      </c>
      <c r="N7">
        <v>16.100000000000001</v>
      </c>
      <c r="O7">
        <v>1.81</v>
      </c>
      <c r="P7">
        <v>7.73</v>
      </c>
      <c r="Q7">
        <v>0</v>
      </c>
      <c r="R7" s="18">
        <f t="shared" si="0"/>
        <v>1783.0899999999965</v>
      </c>
      <c r="S7" s="19">
        <f t="shared" si="1"/>
        <v>1.2980797228045655</v>
      </c>
      <c r="T7" t="str">
        <f t="shared" si="2"/>
        <v>ANDRIELIA APARECIDA GOMES - 238</v>
      </c>
    </row>
    <row r="8" spans="1:20" x14ac:dyDescent="0.3">
      <c r="A8" t="s">
        <v>1005</v>
      </c>
      <c r="B8" t="s">
        <v>1014</v>
      </c>
      <c r="C8" s="5">
        <v>46113.448344907411</v>
      </c>
      <c r="D8" s="5">
        <v>46124.723263888889</v>
      </c>
      <c r="E8">
        <v>199555</v>
      </c>
      <c r="F8" t="s">
        <v>70</v>
      </c>
      <c r="G8" t="s">
        <v>1015</v>
      </c>
      <c r="H8">
        <v>2482.83</v>
      </c>
      <c r="I8">
        <v>1406.75</v>
      </c>
      <c r="J8">
        <v>1.76494</v>
      </c>
      <c r="K8">
        <v>232246.73</v>
      </c>
      <c r="L8">
        <v>234729.35</v>
      </c>
      <c r="M8">
        <v>15.73</v>
      </c>
      <c r="N8">
        <v>26.36</v>
      </c>
      <c r="O8">
        <v>4.4800000000000004</v>
      </c>
      <c r="P8">
        <v>4.4400000000000004</v>
      </c>
      <c r="Q8">
        <v>0</v>
      </c>
      <c r="R8" s="18">
        <f t="shared" si="0"/>
        <v>2482.6199999999953</v>
      </c>
      <c r="S8" s="19">
        <f t="shared" si="1"/>
        <v>1.7649404656122267</v>
      </c>
      <c r="T8" t="str">
        <f t="shared" si="2"/>
        <v>ANDRIELIA APARECIDA GOMES - 238</v>
      </c>
    </row>
    <row r="9" spans="1:20" x14ac:dyDescent="0.3">
      <c r="A9" t="s">
        <v>1005</v>
      </c>
      <c r="B9" t="s">
        <v>1016</v>
      </c>
      <c r="C9" s="5">
        <v>46113.31150462963</v>
      </c>
      <c r="D9" s="5">
        <v>46125.307824074072</v>
      </c>
      <c r="E9">
        <v>205567</v>
      </c>
      <c r="F9" t="s">
        <v>108</v>
      </c>
      <c r="G9" t="s">
        <v>1012</v>
      </c>
      <c r="H9">
        <v>3338.01</v>
      </c>
      <c r="I9">
        <v>2200.84</v>
      </c>
      <c r="J9">
        <v>1.5166980000000001</v>
      </c>
      <c r="K9">
        <v>376364.34</v>
      </c>
      <c r="L9">
        <v>379702.73</v>
      </c>
      <c r="M9">
        <v>8.66</v>
      </c>
      <c r="N9">
        <v>29.51</v>
      </c>
      <c r="O9">
        <v>9.59</v>
      </c>
      <c r="P9">
        <v>1.91</v>
      </c>
      <c r="Q9">
        <v>0</v>
      </c>
      <c r="R9" s="18">
        <f t="shared" si="0"/>
        <v>3338.3899999999558</v>
      </c>
      <c r="S9" s="19">
        <f t="shared" si="1"/>
        <v>1.5166981697897166</v>
      </c>
      <c r="T9" t="str">
        <f t="shared" si="2"/>
        <v>ANTONIO HENRIQUE DE SOUZA - 50102</v>
      </c>
    </row>
    <row r="10" spans="1:20" x14ac:dyDescent="0.3">
      <c r="A10" t="s">
        <v>1005</v>
      </c>
      <c r="B10" t="s">
        <v>1017</v>
      </c>
      <c r="C10" s="5">
        <v>46113.401956018519</v>
      </c>
      <c r="D10" s="5">
        <v>46125.334398148145</v>
      </c>
      <c r="E10">
        <v>199086</v>
      </c>
      <c r="F10" t="s">
        <v>85</v>
      </c>
      <c r="G10" t="s">
        <v>1018</v>
      </c>
      <c r="H10">
        <v>2284.0300000000002</v>
      </c>
      <c r="I10">
        <v>1136.25</v>
      </c>
      <c r="J10">
        <v>2.0101469999999999</v>
      </c>
      <c r="K10">
        <v>592522.84</v>
      </c>
      <c r="L10">
        <v>594806.52</v>
      </c>
      <c r="M10">
        <v>6.54</v>
      </c>
      <c r="N10">
        <v>24.77</v>
      </c>
      <c r="O10">
        <v>5.96</v>
      </c>
      <c r="P10">
        <v>7.72</v>
      </c>
      <c r="Q10">
        <v>0</v>
      </c>
      <c r="R10" s="18">
        <f t="shared" si="0"/>
        <v>2283.6800000000512</v>
      </c>
      <c r="S10" s="19">
        <f t="shared" si="1"/>
        <v>2.0101474147414744</v>
      </c>
      <c r="T10" t="str">
        <f t="shared" si="2"/>
        <v>ANTONIO MARCOS GONCALVES - 90</v>
      </c>
    </row>
    <row r="11" spans="1:20" x14ac:dyDescent="0.3">
      <c r="A11" t="s">
        <v>1005</v>
      </c>
      <c r="B11" t="s">
        <v>1017</v>
      </c>
      <c r="C11" s="5">
        <v>46113.492592592593</v>
      </c>
      <c r="D11" s="5">
        <v>46125.314571759256</v>
      </c>
      <c r="E11">
        <v>203515</v>
      </c>
      <c r="F11" t="s">
        <v>96</v>
      </c>
      <c r="G11" t="s">
        <v>1019</v>
      </c>
      <c r="H11">
        <v>2830.05</v>
      </c>
      <c r="I11">
        <v>1501.65</v>
      </c>
      <c r="J11">
        <v>1.8846270000000001</v>
      </c>
      <c r="K11">
        <v>985308.11</v>
      </c>
      <c r="L11">
        <v>988137.61</v>
      </c>
      <c r="M11">
        <v>8.94</v>
      </c>
      <c r="N11">
        <v>28.14</v>
      </c>
      <c r="O11">
        <v>9.6300000000000008</v>
      </c>
      <c r="P11">
        <v>3.76</v>
      </c>
      <c r="Q11">
        <v>0</v>
      </c>
      <c r="R11" s="18">
        <f t="shared" si="0"/>
        <v>2829.5</v>
      </c>
      <c r="S11" s="19">
        <f t="shared" si="1"/>
        <v>1.8846269103985616</v>
      </c>
      <c r="T11" t="str">
        <f t="shared" si="2"/>
        <v>ANTONIO MARCOS GONCALVES - 90</v>
      </c>
    </row>
    <row r="12" spans="1:20" x14ac:dyDescent="0.3">
      <c r="A12" t="s">
        <v>1005</v>
      </c>
      <c r="B12" t="s">
        <v>1017</v>
      </c>
      <c r="C12" s="5">
        <v>46113.224421296298</v>
      </c>
      <c r="D12" s="5">
        <v>46125.312928240739</v>
      </c>
      <c r="E12">
        <v>197166</v>
      </c>
      <c r="F12" t="s">
        <v>97</v>
      </c>
      <c r="G12" t="s">
        <v>1015</v>
      </c>
      <c r="H12">
        <v>2651.86</v>
      </c>
      <c r="I12">
        <v>1878.39</v>
      </c>
      <c r="J12">
        <v>1.4117729999999999</v>
      </c>
      <c r="K12">
        <v>163859.85999999999</v>
      </c>
      <c r="L12">
        <v>166511.5</v>
      </c>
      <c r="M12">
        <v>9.32</v>
      </c>
      <c r="N12">
        <v>26.17</v>
      </c>
      <c r="O12">
        <v>1.87</v>
      </c>
      <c r="P12">
        <v>7.07</v>
      </c>
      <c r="Q12">
        <v>0</v>
      </c>
      <c r="R12" s="18">
        <f t="shared" si="0"/>
        <v>2651.640000000014</v>
      </c>
      <c r="S12" s="19">
        <f t="shared" si="1"/>
        <v>1.4117728480241059</v>
      </c>
      <c r="T12" t="str">
        <f t="shared" si="2"/>
        <v>ANTONIO MARCOS GONCALVES - 90</v>
      </c>
    </row>
    <row r="13" spans="1:20" x14ac:dyDescent="0.3">
      <c r="A13" t="s">
        <v>1005</v>
      </c>
      <c r="B13" t="s">
        <v>1020</v>
      </c>
      <c r="C13" s="5">
        <v>46113.18949074074</v>
      </c>
      <c r="D13" s="5">
        <v>46125.316018518519</v>
      </c>
      <c r="E13">
        <v>229984</v>
      </c>
      <c r="F13" t="s">
        <v>79</v>
      </c>
      <c r="G13" t="s">
        <v>1010</v>
      </c>
      <c r="H13">
        <v>2284.5100000000002</v>
      </c>
      <c r="I13">
        <v>1232.02</v>
      </c>
      <c r="J13">
        <v>1.8542799999999999</v>
      </c>
      <c r="K13">
        <v>96328.31</v>
      </c>
      <c r="L13">
        <v>98612.53</v>
      </c>
      <c r="M13">
        <v>11.27</v>
      </c>
      <c r="N13">
        <v>15.1</v>
      </c>
      <c r="O13">
        <v>1.98</v>
      </c>
      <c r="P13">
        <v>4.9400000000000004</v>
      </c>
      <c r="Q13">
        <v>0</v>
      </c>
      <c r="R13" s="18">
        <f t="shared" si="0"/>
        <v>2284.2200000000012</v>
      </c>
      <c r="S13" s="19">
        <f t="shared" si="1"/>
        <v>1.8542799629876141</v>
      </c>
      <c r="T13" t="str">
        <f t="shared" si="2"/>
        <v>CLAIR SONAI - 67</v>
      </c>
    </row>
    <row r="14" spans="1:20" x14ac:dyDescent="0.3">
      <c r="A14" t="s">
        <v>1005</v>
      </c>
      <c r="B14" t="s">
        <v>1021</v>
      </c>
      <c r="C14" s="5">
        <v>46113.300740740742</v>
      </c>
      <c r="D14" s="5">
        <v>46123.509525462963</v>
      </c>
      <c r="E14">
        <v>201280</v>
      </c>
      <c r="F14" t="s">
        <v>78</v>
      </c>
      <c r="G14" t="s">
        <v>1015</v>
      </c>
      <c r="H14">
        <v>2281.58</v>
      </c>
      <c r="I14">
        <v>1445.85</v>
      </c>
      <c r="J14">
        <v>1.57802</v>
      </c>
      <c r="K14">
        <v>376388.16</v>
      </c>
      <c r="L14">
        <v>378669.68</v>
      </c>
      <c r="M14">
        <v>3.23</v>
      </c>
      <c r="N14">
        <v>24.97</v>
      </c>
      <c r="O14">
        <v>2.27</v>
      </c>
      <c r="P14">
        <v>5.71</v>
      </c>
      <c r="Q14">
        <v>0</v>
      </c>
      <c r="R14" s="18">
        <f t="shared" si="0"/>
        <v>2281.5200000000186</v>
      </c>
      <c r="S14" s="19">
        <f t="shared" si="1"/>
        <v>1.5780198499152749</v>
      </c>
      <c r="T14" t="str">
        <f t="shared" si="2"/>
        <v>CLAUDEMIR SOARES - 252</v>
      </c>
    </row>
    <row r="15" spans="1:20" x14ac:dyDescent="0.3">
      <c r="A15" t="s">
        <v>1005</v>
      </c>
      <c r="B15" t="s">
        <v>1022</v>
      </c>
      <c r="C15" s="5">
        <v>46113.278553240743</v>
      </c>
      <c r="D15" s="5">
        <v>46125.255231481482</v>
      </c>
      <c r="E15">
        <v>200725</v>
      </c>
      <c r="F15" t="s">
        <v>102</v>
      </c>
      <c r="G15" t="s">
        <v>1015</v>
      </c>
      <c r="H15">
        <v>3864.46</v>
      </c>
      <c r="I15">
        <v>2562.77</v>
      </c>
      <c r="J15">
        <v>1.5079229999999999</v>
      </c>
      <c r="K15">
        <v>398215.34</v>
      </c>
      <c r="L15">
        <v>402079.61</v>
      </c>
      <c r="M15">
        <v>20.96</v>
      </c>
      <c r="N15">
        <v>25.74</v>
      </c>
      <c r="O15">
        <v>2.85</v>
      </c>
      <c r="P15">
        <v>18.7</v>
      </c>
      <c r="Q15">
        <v>0</v>
      </c>
      <c r="R15" s="18">
        <f t="shared" si="0"/>
        <v>3864.2699999999604</v>
      </c>
      <c r="S15" s="19">
        <f t="shared" si="1"/>
        <v>1.5079230676182411</v>
      </c>
      <c r="T15" t="str">
        <f t="shared" si="2"/>
        <v>CLAUDINIR RODRIGUES GARCIA - 186</v>
      </c>
    </row>
    <row r="16" spans="1:20" x14ac:dyDescent="0.3">
      <c r="A16" t="s">
        <v>1005</v>
      </c>
      <c r="B16" t="s">
        <v>1023</v>
      </c>
      <c r="C16" s="5">
        <v>46113.321875000001</v>
      </c>
      <c r="D16" s="5">
        <v>46123.659247685187</v>
      </c>
      <c r="E16">
        <v>197397</v>
      </c>
      <c r="F16" t="s">
        <v>48</v>
      </c>
      <c r="G16" t="s">
        <v>1018</v>
      </c>
      <c r="H16">
        <v>553.82000000000005</v>
      </c>
      <c r="I16">
        <v>209.58</v>
      </c>
      <c r="J16">
        <v>2.6425230000000002</v>
      </c>
      <c r="K16">
        <v>757122.25</v>
      </c>
      <c r="L16">
        <v>757676.01</v>
      </c>
      <c r="M16">
        <v>2.0299999999999998</v>
      </c>
      <c r="N16">
        <v>3.19</v>
      </c>
      <c r="O16">
        <v>1.94</v>
      </c>
      <c r="P16">
        <v>1.73</v>
      </c>
      <c r="Q16">
        <v>0</v>
      </c>
      <c r="R16" s="18">
        <f t="shared" si="0"/>
        <v>553.76000000000931</v>
      </c>
      <c r="S16" s="19">
        <f t="shared" si="1"/>
        <v>2.6425231415211377</v>
      </c>
      <c r="T16" t="str">
        <f t="shared" si="2"/>
        <v>CLODOALDO SANTIAGO - 10247</v>
      </c>
    </row>
    <row r="17" spans="1:20" x14ac:dyDescent="0.3">
      <c r="A17" t="s">
        <v>1005</v>
      </c>
      <c r="B17" t="s">
        <v>1024</v>
      </c>
      <c r="C17" s="5">
        <v>46113.387650462966</v>
      </c>
      <c r="D17" s="5">
        <v>46125.304236111115</v>
      </c>
      <c r="E17">
        <v>204716</v>
      </c>
      <c r="F17" t="s">
        <v>103</v>
      </c>
      <c r="G17" t="s">
        <v>1007</v>
      </c>
      <c r="H17">
        <v>2222.27</v>
      </c>
      <c r="I17">
        <v>1541.23</v>
      </c>
      <c r="J17">
        <v>1.441881</v>
      </c>
      <c r="K17">
        <v>501136.44</v>
      </c>
      <c r="L17">
        <v>503358.46</v>
      </c>
      <c r="M17">
        <v>10.64</v>
      </c>
      <c r="N17">
        <v>25.5</v>
      </c>
      <c r="O17">
        <v>2.14</v>
      </c>
      <c r="P17">
        <v>9.76</v>
      </c>
      <c r="Q17">
        <v>0</v>
      </c>
      <c r="R17" s="18">
        <f t="shared" si="0"/>
        <v>2222.0200000000186</v>
      </c>
      <c r="S17" s="19">
        <f t="shared" si="1"/>
        <v>1.4418808354366317</v>
      </c>
      <c r="T17" t="str">
        <f t="shared" si="2"/>
        <v>DANIEL ANTONIO DOS SANTOS JUNIOR - 224</v>
      </c>
    </row>
    <row r="18" spans="1:20" x14ac:dyDescent="0.3">
      <c r="A18" t="s">
        <v>1005</v>
      </c>
      <c r="B18" t="s">
        <v>1025</v>
      </c>
      <c r="C18" s="5">
        <v>46113.218622685185</v>
      </c>
      <c r="D18" s="5">
        <v>46125.354710648149</v>
      </c>
      <c r="E18">
        <v>229837</v>
      </c>
      <c r="F18" t="s">
        <v>99</v>
      </c>
      <c r="G18" t="s">
        <v>1010</v>
      </c>
      <c r="H18">
        <v>2226.09</v>
      </c>
      <c r="I18">
        <v>1408.59</v>
      </c>
      <c r="J18">
        <v>1.580368</v>
      </c>
      <c r="K18">
        <v>99268.71</v>
      </c>
      <c r="L18">
        <v>101494.62</v>
      </c>
      <c r="M18">
        <v>3.4</v>
      </c>
      <c r="N18">
        <v>26.25</v>
      </c>
      <c r="O18">
        <v>1.31</v>
      </c>
      <c r="P18">
        <v>1.32</v>
      </c>
      <c r="Q18">
        <v>0</v>
      </c>
      <c r="R18" s="18">
        <f t="shared" si="0"/>
        <v>2225.9099999999889</v>
      </c>
      <c r="S18" s="19">
        <f t="shared" si="1"/>
        <v>1.5803676016441977</v>
      </c>
      <c r="T18" t="str">
        <f t="shared" si="2"/>
        <v>DEIZE CRISTINA WEILER - 10569</v>
      </c>
    </row>
    <row r="19" spans="1:20" x14ac:dyDescent="0.3">
      <c r="A19" t="s">
        <v>1005</v>
      </c>
      <c r="B19" t="s">
        <v>1026</v>
      </c>
      <c r="C19" s="5">
        <v>46113.26421296296</v>
      </c>
      <c r="D19" s="5">
        <v>46123.490833333337</v>
      </c>
      <c r="E19">
        <v>223653</v>
      </c>
      <c r="F19" t="s">
        <v>1027</v>
      </c>
      <c r="G19" t="s">
        <v>1028</v>
      </c>
      <c r="H19">
        <v>1624.04</v>
      </c>
      <c r="I19">
        <v>0</v>
      </c>
      <c r="J19" t="s">
        <v>1029</v>
      </c>
      <c r="K19">
        <v>66192.23</v>
      </c>
      <c r="L19">
        <v>67816.179999999993</v>
      </c>
      <c r="M19">
        <v>8.93</v>
      </c>
      <c r="N19">
        <v>18.440000000000001</v>
      </c>
      <c r="O19">
        <v>6.37</v>
      </c>
      <c r="P19">
        <v>1.08</v>
      </c>
      <c r="Q19">
        <v>0</v>
      </c>
      <c r="R19" s="18">
        <f t="shared" si="0"/>
        <v>1623.9499999999971</v>
      </c>
      <c r="S19" s="19" t="e">
        <f t="shared" si="1"/>
        <v>#DIV/0!</v>
      </c>
      <c r="T19" t="str">
        <f t="shared" si="2"/>
        <v>DJONATHAN DIEGO FAGUNDES MIRANDA - 963</v>
      </c>
    </row>
    <row r="20" spans="1:20" x14ac:dyDescent="0.3">
      <c r="A20" t="s">
        <v>1005</v>
      </c>
      <c r="B20" t="s">
        <v>1030</v>
      </c>
      <c r="C20" s="5">
        <v>46113.235613425924</v>
      </c>
      <c r="D20" s="5">
        <v>46125.301631944443</v>
      </c>
      <c r="E20">
        <v>229912</v>
      </c>
      <c r="F20" t="s">
        <v>76</v>
      </c>
      <c r="G20" t="s">
        <v>1010</v>
      </c>
      <c r="H20">
        <v>3283.67</v>
      </c>
      <c r="I20">
        <v>1756.41</v>
      </c>
      <c r="J20">
        <v>1.8695349999999999</v>
      </c>
      <c r="K20">
        <v>95366.97</v>
      </c>
      <c r="L20">
        <v>98650.37</v>
      </c>
      <c r="M20">
        <v>5.07</v>
      </c>
      <c r="N20">
        <v>27.17</v>
      </c>
      <c r="O20">
        <v>2.37</v>
      </c>
      <c r="P20">
        <v>3.13</v>
      </c>
      <c r="Q20">
        <v>0</v>
      </c>
      <c r="R20" s="18">
        <f t="shared" si="0"/>
        <v>3283.3999999999942</v>
      </c>
      <c r="S20" s="19">
        <f t="shared" si="1"/>
        <v>1.8695350174503675</v>
      </c>
      <c r="T20" t="str">
        <f t="shared" si="2"/>
        <v>EDENIR MALOSTI PEREIRA - 72</v>
      </c>
    </row>
    <row r="21" spans="1:20" x14ac:dyDescent="0.3">
      <c r="A21" t="s">
        <v>1005</v>
      </c>
      <c r="B21" t="s">
        <v>1031</v>
      </c>
      <c r="C21" s="5">
        <v>46113.276192129626</v>
      </c>
      <c r="D21" s="5">
        <v>46125.307395833333</v>
      </c>
      <c r="E21">
        <v>197199</v>
      </c>
      <c r="F21" t="s">
        <v>92</v>
      </c>
      <c r="G21" t="s">
        <v>1032</v>
      </c>
      <c r="H21">
        <v>2897.36</v>
      </c>
      <c r="I21">
        <v>1943.98</v>
      </c>
      <c r="J21">
        <v>1.4904269999999999</v>
      </c>
      <c r="K21">
        <v>169946.44</v>
      </c>
      <c r="L21">
        <v>172843.71</v>
      </c>
      <c r="M21">
        <v>4.41</v>
      </c>
      <c r="N21">
        <v>23.9</v>
      </c>
      <c r="O21">
        <v>0.89</v>
      </c>
      <c r="P21">
        <v>11.34</v>
      </c>
      <c r="Q21">
        <v>0</v>
      </c>
      <c r="R21" s="18">
        <f t="shared" si="0"/>
        <v>2897.2699999999895</v>
      </c>
      <c r="S21" s="19">
        <f t="shared" si="1"/>
        <v>1.4904268562433771</v>
      </c>
      <c r="T21" t="str">
        <f t="shared" si="2"/>
        <v>EDUARDO RAFAEL BORGES - 253</v>
      </c>
    </row>
    <row r="22" spans="1:20" x14ac:dyDescent="0.3">
      <c r="A22" t="s">
        <v>1005</v>
      </c>
      <c r="B22" t="s">
        <v>1033</v>
      </c>
      <c r="C22" s="5">
        <v>46113.261099537034</v>
      </c>
      <c r="D22" s="5">
        <v>46125.321481481478</v>
      </c>
      <c r="E22">
        <v>200350</v>
      </c>
      <c r="F22" t="s">
        <v>98</v>
      </c>
      <c r="G22" t="s">
        <v>1015</v>
      </c>
      <c r="H22">
        <v>2687.66</v>
      </c>
      <c r="I22">
        <v>2039.56</v>
      </c>
      <c r="J22">
        <v>1.3177650000000001</v>
      </c>
      <c r="K22">
        <v>426375.22</v>
      </c>
      <c r="L22">
        <v>429062.65</v>
      </c>
      <c r="M22">
        <v>8.69</v>
      </c>
      <c r="N22">
        <v>26.6</v>
      </c>
      <c r="O22">
        <v>3.15</v>
      </c>
      <c r="P22">
        <v>9.9600000000000009</v>
      </c>
      <c r="Q22">
        <v>0</v>
      </c>
      <c r="R22" s="18">
        <f t="shared" si="0"/>
        <v>2687.4300000000512</v>
      </c>
      <c r="S22" s="19">
        <f t="shared" si="1"/>
        <v>1.3177646158975465</v>
      </c>
      <c r="T22" t="str">
        <f t="shared" si="2"/>
        <v>ELENILDO GOMES DA SILVA - 10843</v>
      </c>
    </row>
    <row r="23" spans="1:20" x14ac:dyDescent="0.3">
      <c r="A23" t="s">
        <v>1005</v>
      </c>
      <c r="B23" t="s">
        <v>1034</v>
      </c>
      <c r="C23" s="5">
        <v>46113.277546296296</v>
      </c>
      <c r="D23" s="5">
        <v>46124.299849537034</v>
      </c>
      <c r="E23">
        <v>197168</v>
      </c>
      <c r="F23" t="s">
        <v>53</v>
      </c>
      <c r="G23" t="s">
        <v>1015</v>
      </c>
      <c r="H23">
        <v>1914.06</v>
      </c>
      <c r="I23">
        <v>748.07</v>
      </c>
      <c r="J23">
        <v>2.5586639999999998</v>
      </c>
      <c r="K23">
        <v>226403.12</v>
      </c>
      <c r="L23">
        <v>228316.97</v>
      </c>
      <c r="M23">
        <v>7.51</v>
      </c>
      <c r="N23">
        <v>18.86</v>
      </c>
      <c r="O23">
        <v>2.36</v>
      </c>
      <c r="P23">
        <v>0.89</v>
      </c>
      <c r="Q23">
        <v>0</v>
      </c>
      <c r="R23" s="18">
        <f t="shared" si="0"/>
        <v>1913.8500000000058</v>
      </c>
      <c r="S23" s="19">
        <f t="shared" si="1"/>
        <v>2.5586642961220205</v>
      </c>
      <c r="T23" t="str">
        <f t="shared" si="2"/>
        <v>EMERSON MENON CUNHA - 128</v>
      </c>
    </row>
    <row r="24" spans="1:20" x14ac:dyDescent="0.3">
      <c r="A24" t="s">
        <v>1005</v>
      </c>
      <c r="B24" t="s">
        <v>1035</v>
      </c>
      <c r="C24" s="5">
        <v>46113.384583333333</v>
      </c>
      <c r="D24" s="5">
        <v>46122.837673611109</v>
      </c>
      <c r="E24">
        <v>223656</v>
      </c>
      <c r="F24" t="s">
        <v>1036</v>
      </c>
      <c r="G24" t="s">
        <v>1028</v>
      </c>
      <c r="H24">
        <v>3479.96</v>
      </c>
      <c r="I24">
        <v>0</v>
      </c>
      <c r="J24" t="s">
        <v>1029</v>
      </c>
      <c r="K24">
        <v>109047.53</v>
      </c>
      <c r="L24">
        <v>112527.35</v>
      </c>
      <c r="M24">
        <v>3.03</v>
      </c>
      <c r="N24">
        <v>29.42</v>
      </c>
      <c r="O24">
        <v>8.77</v>
      </c>
      <c r="P24">
        <v>5.7</v>
      </c>
      <c r="Q24">
        <v>0</v>
      </c>
      <c r="R24" s="18">
        <f t="shared" si="0"/>
        <v>3479.820000000007</v>
      </c>
      <c r="S24" s="19" t="e">
        <f t="shared" si="1"/>
        <v>#DIV/0!</v>
      </c>
      <c r="T24" t="str">
        <f t="shared" si="2"/>
        <v>ESTEVAO LEITE VARGAS - 7008</v>
      </c>
    </row>
    <row r="25" spans="1:20" x14ac:dyDescent="0.3">
      <c r="A25" t="s">
        <v>1005</v>
      </c>
      <c r="B25" t="s">
        <v>1037</v>
      </c>
      <c r="C25" s="5">
        <v>46113.304328703707</v>
      </c>
      <c r="D25" s="5">
        <v>46124.774224537039</v>
      </c>
      <c r="E25">
        <v>197324</v>
      </c>
      <c r="F25" t="s">
        <v>105</v>
      </c>
      <c r="G25" t="s">
        <v>1012</v>
      </c>
      <c r="H25">
        <v>2900.04</v>
      </c>
      <c r="I25">
        <v>2047.9</v>
      </c>
      <c r="J25">
        <v>1.416104</v>
      </c>
      <c r="K25">
        <v>266726</v>
      </c>
      <c r="L25">
        <v>269755.71999999997</v>
      </c>
      <c r="M25">
        <v>4.57</v>
      </c>
      <c r="N25">
        <v>27.17</v>
      </c>
      <c r="O25">
        <v>1.92</v>
      </c>
      <c r="P25">
        <v>8.15</v>
      </c>
      <c r="Q25">
        <v>0</v>
      </c>
      <c r="R25" s="18">
        <f t="shared" si="0"/>
        <v>3029.7199999999721</v>
      </c>
      <c r="S25" s="19">
        <f t="shared" si="1"/>
        <v>1.4161043019678694</v>
      </c>
      <c r="T25" t="str">
        <f t="shared" si="2"/>
        <v>FELIPE NUNES - 251</v>
      </c>
    </row>
    <row r="26" spans="1:20" x14ac:dyDescent="0.3">
      <c r="A26" t="s">
        <v>1005</v>
      </c>
      <c r="B26" t="s">
        <v>1038</v>
      </c>
      <c r="C26" s="5">
        <v>46113.307314814818</v>
      </c>
      <c r="D26" s="5">
        <v>46125.346168981479</v>
      </c>
      <c r="E26">
        <v>207478</v>
      </c>
      <c r="F26" t="s">
        <v>89</v>
      </c>
      <c r="G26" t="s">
        <v>1039</v>
      </c>
      <c r="H26">
        <v>2010.58</v>
      </c>
      <c r="I26">
        <v>1180.74</v>
      </c>
      <c r="J26">
        <v>1.7028129999999999</v>
      </c>
      <c r="K26">
        <v>592530.59</v>
      </c>
      <c r="L26">
        <v>594540.88</v>
      </c>
      <c r="M26">
        <v>9.24</v>
      </c>
      <c r="N26">
        <v>11.47</v>
      </c>
      <c r="O26">
        <v>5.9</v>
      </c>
      <c r="P26">
        <v>11.62</v>
      </c>
      <c r="Q26">
        <v>0</v>
      </c>
      <c r="R26" s="18">
        <f t="shared" si="0"/>
        <v>2010.2900000000373</v>
      </c>
      <c r="S26" s="19">
        <f t="shared" si="1"/>
        <v>1.7028134898453511</v>
      </c>
      <c r="T26" t="str">
        <f t="shared" si="2"/>
        <v>FERNANDO JOSE CARVALHO - 10762</v>
      </c>
    </row>
    <row r="27" spans="1:20" x14ac:dyDescent="0.3">
      <c r="A27" t="s">
        <v>1005</v>
      </c>
      <c r="B27" t="s">
        <v>1040</v>
      </c>
      <c r="C27" s="5">
        <v>46113.324074074073</v>
      </c>
      <c r="D27" s="5">
        <v>46124.477094907408</v>
      </c>
      <c r="E27">
        <v>202702</v>
      </c>
      <c r="F27" t="s">
        <v>69</v>
      </c>
      <c r="G27" t="s">
        <v>1039</v>
      </c>
      <c r="H27">
        <v>2672.91</v>
      </c>
      <c r="I27">
        <v>1210.97</v>
      </c>
      <c r="J27">
        <v>2.2072470000000002</v>
      </c>
      <c r="K27">
        <v>607823.51</v>
      </c>
      <c r="L27">
        <v>610496.14</v>
      </c>
      <c r="M27">
        <v>7.66</v>
      </c>
      <c r="N27">
        <v>12.94</v>
      </c>
      <c r="O27">
        <v>6.16</v>
      </c>
      <c r="P27">
        <v>14.17</v>
      </c>
      <c r="Q27">
        <v>0</v>
      </c>
      <c r="R27" s="18">
        <f t="shared" si="0"/>
        <v>2672.6300000000047</v>
      </c>
      <c r="S27" s="19">
        <f t="shared" si="1"/>
        <v>2.2072470829170001</v>
      </c>
      <c r="T27" t="str">
        <f t="shared" si="2"/>
        <v>FRANCISCO ADEMIR MORO JUNIOR - 216</v>
      </c>
    </row>
    <row r="28" spans="1:20" x14ac:dyDescent="0.3">
      <c r="A28" t="s">
        <v>1005</v>
      </c>
      <c r="B28" t="s">
        <v>1041</v>
      </c>
      <c r="C28" s="5">
        <v>46113.320613425924</v>
      </c>
      <c r="D28" s="5">
        <v>46124.758472222224</v>
      </c>
      <c r="E28">
        <v>192406</v>
      </c>
      <c r="F28" t="s">
        <v>74</v>
      </c>
      <c r="G28" t="s">
        <v>1012</v>
      </c>
      <c r="H28">
        <v>2759.48</v>
      </c>
      <c r="I28">
        <v>1512.23</v>
      </c>
      <c r="J28">
        <v>1.824775</v>
      </c>
      <c r="K28">
        <v>186872.12</v>
      </c>
      <c r="L28">
        <v>189631.37</v>
      </c>
      <c r="M28">
        <v>16.489999999999998</v>
      </c>
      <c r="N28">
        <v>26.84</v>
      </c>
      <c r="O28">
        <v>5.41</v>
      </c>
      <c r="P28">
        <v>5.95</v>
      </c>
      <c r="Q28">
        <v>0</v>
      </c>
      <c r="R28" s="18">
        <f t="shared" si="0"/>
        <v>2759.25</v>
      </c>
      <c r="S28" s="19">
        <f t="shared" si="1"/>
        <v>1.8247753317947666</v>
      </c>
      <c r="T28" t="str">
        <f t="shared" si="2"/>
        <v>FRANCISCO JOSE ESTEVES - 162</v>
      </c>
    </row>
    <row r="29" spans="1:20" x14ac:dyDescent="0.3">
      <c r="A29" t="s">
        <v>1005</v>
      </c>
      <c r="B29" t="s">
        <v>1042</v>
      </c>
      <c r="C29" s="5">
        <v>46113.158206018517</v>
      </c>
      <c r="D29" s="5">
        <v>46125.32199074074</v>
      </c>
      <c r="E29">
        <v>204034</v>
      </c>
      <c r="F29" t="s">
        <v>107</v>
      </c>
      <c r="G29" t="s">
        <v>1043</v>
      </c>
      <c r="H29">
        <v>3435.67</v>
      </c>
      <c r="I29">
        <v>1786.51</v>
      </c>
      <c r="J29">
        <v>1.9231180000000001</v>
      </c>
      <c r="K29">
        <v>469866</v>
      </c>
      <c r="L29">
        <v>473301.08</v>
      </c>
      <c r="M29">
        <v>6.11</v>
      </c>
      <c r="N29">
        <v>39.32</v>
      </c>
      <c r="O29">
        <v>39.32</v>
      </c>
      <c r="P29">
        <v>0.17</v>
      </c>
      <c r="Q29">
        <v>0</v>
      </c>
      <c r="R29" s="18">
        <f t="shared" si="0"/>
        <v>3435.0800000000163</v>
      </c>
      <c r="S29" s="19">
        <f t="shared" si="1"/>
        <v>1.9231182585040107</v>
      </c>
      <c r="T29" t="str">
        <f t="shared" si="2"/>
        <v>GUSTAVO ANTONIO NOGUEIRA - 73</v>
      </c>
    </row>
    <row r="30" spans="1:20" x14ac:dyDescent="0.3">
      <c r="A30" t="s">
        <v>1005</v>
      </c>
      <c r="B30" t="s">
        <v>1044</v>
      </c>
      <c r="C30" s="5">
        <v>46113.209143518521</v>
      </c>
      <c r="D30" s="5">
        <v>46124.720509259256</v>
      </c>
      <c r="E30">
        <v>201279</v>
      </c>
      <c r="F30" t="s">
        <v>65</v>
      </c>
      <c r="G30" t="s">
        <v>1015</v>
      </c>
      <c r="H30">
        <v>2341.5700000000002</v>
      </c>
      <c r="I30">
        <v>1459.65</v>
      </c>
      <c r="J30">
        <v>1.6042000000000001</v>
      </c>
      <c r="K30">
        <v>426028.2</v>
      </c>
      <c r="L30">
        <v>428369.58</v>
      </c>
      <c r="M30">
        <v>9.4600000000000009</v>
      </c>
      <c r="N30">
        <v>27.23</v>
      </c>
      <c r="O30">
        <v>27.23</v>
      </c>
      <c r="P30">
        <v>1.1399999999999999</v>
      </c>
      <c r="Q30">
        <v>0</v>
      </c>
      <c r="R30" s="18">
        <f t="shared" si="0"/>
        <v>2341.3800000000047</v>
      </c>
      <c r="S30" s="19">
        <f t="shared" si="1"/>
        <v>1.6041996368992566</v>
      </c>
      <c r="T30" t="str">
        <f t="shared" si="2"/>
        <v>ISACC SANTOS GUEDES - 172</v>
      </c>
    </row>
    <row r="31" spans="1:20" x14ac:dyDescent="0.3">
      <c r="A31" t="s">
        <v>1005</v>
      </c>
      <c r="B31" t="s">
        <v>1045</v>
      </c>
      <c r="C31" s="5">
        <v>46113.236307870371</v>
      </c>
      <c r="D31" s="5">
        <v>46123.510451388887</v>
      </c>
      <c r="E31">
        <v>200187</v>
      </c>
      <c r="F31" t="s">
        <v>33</v>
      </c>
      <c r="G31" t="s">
        <v>1015</v>
      </c>
      <c r="H31">
        <v>1342.93</v>
      </c>
      <c r="I31">
        <v>780.01</v>
      </c>
      <c r="J31">
        <v>1.7216830000000001</v>
      </c>
      <c r="K31">
        <v>388003.57</v>
      </c>
      <c r="L31">
        <v>389346.44</v>
      </c>
      <c r="M31">
        <v>16.97</v>
      </c>
      <c r="N31">
        <v>10.54</v>
      </c>
      <c r="O31">
        <v>0.84</v>
      </c>
      <c r="P31">
        <v>5.27</v>
      </c>
      <c r="Q31">
        <v>0</v>
      </c>
      <c r="R31" s="18">
        <f t="shared" si="0"/>
        <v>1342.8699999999953</v>
      </c>
      <c r="S31" s="19">
        <f t="shared" si="1"/>
        <v>1.7216830553454443</v>
      </c>
      <c r="T31" t="str">
        <f t="shared" si="2"/>
        <v>JEFFERSON APARECIDO DE LIMA - 10857</v>
      </c>
    </row>
    <row r="32" spans="1:20" x14ac:dyDescent="0.3">
      <c r="A32" t="s">
        <v>1005</v>
      </c>
      <c r="B32" t="s">
        <v>1046</v>
      </c>
      <c r="C32" s="5">
        <v>46113.288807870369</v>
      </c>
      <c r="D32" s="5">
        <v>46125.285590277781</v>
      </c>
      <c r="E32">
        <v>199458</v>
      </c>
      <c r="F32" t="s">
        <v>90</v>
      </c>
      <c r="G32" t="s">
        <v>1007</v>
      </c>
      <c r="H32">
        <v>1883.86</v>
      </c>
      <c r="I32">
        <v>1369.03</v>
      </c>
      <c r="J32">
        <v>1.376055</v>
      </c>
      <c r="K32">
        <v>489503.21</v>
      </c>
      <c r="L32">
        <v>491386.91</v>
      </c>
      <c r="M32">
        <v>4.75</v>
      </c>
      <c r="N32">
        <v>16.55</v>
      </c>
      <c r="O32">
        <v>5.89</v>
      </c>
      <c r="P32">
        <v>1.4</v>
      </c>
      <c r="Q32">
        <v>0</v>
      </c>
      <c r="R32" s="18">
        <f t="shared" si="0"/>
        <v>1883.6999999999534</v>
      </c>
      <c r="S32" s="19">
        <f t="shared" si="1"/>
        <v>1.3760545787893617</v>
      </c>
      <c r="T32" t="str">
        <f t="shared" si="2"/>
        <v>JOAO GABRIEL DA CRUZ - 10724</v>
      </c>
    </row>
    <row r="33" spans="1:20" x14ac:dyDescent="0.3">
      <c r="A33" t="s">
        <v>1005</v>
      </c>
      <c r="B33" t="s">
        <v>1047</v>
      </c>
      <c r="C33" s="5">
        <v>46113.149733796294</v>
      </c>
      <c r="D33" s="5">
        <v>46125.336574074077</v>
      </c>
      <c r="E33">
        <v>192616</v>
      </c>
      <c r="F33" t="s">
        <v>84</v>
      </c>
      <c r="G33" t="s">
        <v>1015</v>
      </c>
      <c r="H33">
        <v>3689.96</v>
      </c>
      <c r="I33">
        <v>2570.23</v>
      </c>
      <c r="J33">
        <v>1.435654</v>
      </c>
      <c r="K33">
        <v>167342.53</v>
      </c>
      <c r="L33">
        <v>171032.26</v>
      </c>
      <c r="M33">
        <v>14.85</v>
      </c>
      <c r="N33">
        <v>27.45</v>
      </c>
      <c r="O33">
        <v>2.58</v>
      </c>
      <c r="P33">
        <v>24.05</v>
      </c>
      <c r="Q33">
        <v>0</v>
      </c>
      <c r="R33" s="18">
        <f t="shared" si="0"/>
        <v>3689.7300000000105</v>
      </c>
      <c r="S33" s="19">
        <f t="shared" si="1"/>
        <v>1.4356536185477564</v>
      </c>
      <c r="T33" t="str">
        <f t="shared" si="2"/>
        <v>JOAQUIM RAIMUNDO PORTES JUNIOR - 195</v>
      </c>
    </row>
    <row r="34" spans="1:20" x14ac:dyDescent="0.3">
      <c r="A34" t="s">
        <v>1005</v>
      </c>
      <c r="B34" t="s">
        <v>1048</v>
      </c>
      <c r="C34" s="5">
        <v>46113.248923611114</v>
      </c>
      <c r="D34" s="5">
        <v>46124.793576388889</v>
      </c>
      <c r="E34">
        <v>197205</v>
      </c>
      <c r="F34" t="s">
        <v>104</v>
      </c>
      <c r="G34" t="s">
        <v>1015</v>
      </c>
      <c r="H34">
        <v>3626.95</v>
      </c>
      <c r="I34">
        <v>2467.83</v>
      </c>
      <c r="J34">
        <v>1.469692</v>
      </c>
      <c r="K34">
        <v>161116.96</v>
      </c>
      <c r="L34">
        <v>164743.72</v>
      </c>
      <c r="M34">
        <v>5.79</v>
      </c>
      <c r="N34">
        <v>31.21</v>
      </c>
      <c r="O34">
        <v>3.39</v>
      </c>
      <c r="P34">
        <v>13.21</v>
      </c>
      <c r="Q34">
        <v>0</v>
      </c>
      <c r="R34" s="18">
        <f t="shared" ref="R34:R65" si="3">L34-K34</f>
        <v>3626.7600000000093</v>
      </c>
      <c r="S34" s="19">
        <f t="shared" ref="S34:S65" si="4">H34/I34</f>
        <v>1.4696919966124085</v>
      </c>
      <c r="T34" t="str">
        <f t="shared" si="2"/>
        <v>JONATAN MODESTO - 187</v>
      </c>
    </row>
    <row r="35" spans="1:20" x14ac:dyDescent="0.3">
      <c r="A35" t="s">
        <v>1005</v>
      </c>
      <c r="B35" t="s">
        <v>1049</v>
      </c>
      <c r="C35" s="5">
        <v>46113.326365740744</v>
      </c>
      <c r="D35" s="5">
        <v>46124.801527777781</v>
      </c>
      <c r="E35">
        <v>230379</v>
      </c>
      <c r="F35" t="s">
        <v>49</v>
      </c>
      <c r="G35" t="s">
        <v>1010</v>
      </c>
      <c r="H35">
        <v>921.63</v>
      </c>
      <c r="I35">
        <v>506.55</v>
      </c>
      <c r="J35">
        <v>1.819426</v>
      </c>
      <c r="K35">
        <v>107656.66</v>
      </c>
      <c r="L35">
        <v>108578.17</v>
      </c>
      <c r="M35">
        <v>14.87</v>
      </c>
      <c r="N35">
        <v>10.59</v>
      </c>
      <c r="O35">
        <v>0.97</v>
      </c>
      <c r="P35">
        <v>1.24</v>
      </c>
      <c r="Q35">
        <v>0</v>
      </c>
      <c r="R35" s="18">
        <f t="shared" si="3"/>
        <v>921.50999999999476</v>
      </c>
      <c r="S35" s="19">
        <f t="shared" si="4"/>
        <v>1.8194255256144507</v>
      </c>
      <c r="T35" t="str">
        <f t="shared" si="2"/>
        <v>JOSE ARIMATEIA DA SILVA - 63</v>
      </c>
    </row>
    <row r="36" spans="1:20" x14ac:dyDescent="0.3">
      <c r="A36" t="s">
        <v>1005</v>
      </c>
      <c r="B36" t="s">
        <v>1050</v>
      </c>
      <c r="C36" s="5">
        <v>46113.206863425927</v>
      </c>
      <c r="D36" s="5">
        <v>46121.641516203701</v>
      </c>
      <c r="E36">
        <v>203828</v>
      </c>
      <c r="F36" t="s">
        <v>56</v>
      </c>
      <c r="G36" t="s">
        <v>1015</v>
      </c>
      <c r="H36">
        <v>766.5</v>
      </c>
      <c r="I36">
        <v>607.20000000000005</v>
      </c>
      <c r="J36">
        <v>1.2623519999999999</v>
      </c>
      <c r="K36">
        <v>252164.97</v>
      </c>
      <c r="L36">
        <v>252931.34</v>
      </c>
      <c r="M36">
        <v>10.15</v>
      </c>
      <c r="N36">
        <v>6.82</v>
      </c>
      <c r="O36">
        <v>0.98</v>
      </c>
      <c r="P36">
        <v>3.57</v>
      </c>
      <c r="Q36">
        <v>0</v>
      </c>
      <c r="R36" s="18">
        <f t="shared" si="3"/>
        <v>766.36999999999534</v>
      </c>
      <c r="S36" s="19">
        <f t="shared" si="4"/>
        <v>1.2623517786561265</v>
      </c>
      <c r="T36" t="str">
        <f t="shared" si="2"/>
        <v>JOSE CLAUDIO DA CRUZ - 201</v>
      </c>
    </row>
    <row r="37" spans="1:20" x14ac:dyDescent="0.3">
      <c r="A37" t="s">
        <v>1005</v>
      </c>
      <c r="B37" t="s">
        <v>1051</v>
      </c>
      <c r="C37" s="5">
        <v>46113.445277777777</v>
      </c>
      <c r="D37" s="5">
        <v>46122.700173611112</v>
      </c>
      <c r="E37">
        <v>223654</v>
      </c>
      <c r="F37" t="s">
        <v>1052</v>
      </c>
      <c r="G37" t="s">
        <v>1028</v>
      </c>
      <c r="H37">
        <v>1050.83</v>
      </c>
      <c r="I37">
        <v>0</v>
      </c>
      <c r="J37" t="s">
        <v>1029</v>
      </c>
      <c r="K37">
        <v>65047.74</v>
      </c>
      <c r="L37">
        <v>66098.350000000006</v>
      </c>
      <c r="M37">
        <v>4.22</v>
      </c>
      <c r="N37">
        <v>9.74</v>
      </c>
      <c r="O37">
        <v>4.17</v>
      </c>
      <c r="P37">
        <v>1.31</v>
      </c>
      <c r="Q37">
        <v>0</v>
      </c>
      <c r="R37" s="18">
        <f t="shared" si="3"/>
        <v>1050.6100000000079</v>
      </c>
      <c r="S37" s="19" t="e">
        <f t="shared" si="4"/>
        <v>#DIV/0!</v>
      </c>
      <c r="T37" t="str">
        <f t="shared" si="2"/>
        <v>JOSE DAVI DA SILVA PINTO - 2028</v>
      </c>
    </row>
    <row r="38" spans="1:20" x14ac:dyDescent="0.3">
      <c r="A38" t="s">
        <v>1005</v>
      </c>
      <c r="B38" t="s">
        <v>1053</v>
      </c>
      <c r="C38" s="5">
        <v>46113.276412037034</v>
      </c>
      <c r="D38" s="5">
        <v>46125.351817129631</v>
      </c>
      <c r="E38">
        <v>229611</v>
      </c>
      <c r="F38" t="s">
        <v>87</v>
      </c>
      <c r="G38" t="s">
        <v>1010</v>
      </c>
      <c r="H38">
        <v>3146.71</v>
      </c>
      <c r="I38">
        <v>1947.71</v>
      </c>
      <c r="J38">
        <v>1.6155949999999999</v>
      </c>
      <c r="K38">
        <v>99722.38</v>
      </c>
      <c r="L38">
        <v>102868.74</v>
      </c>
      <c r="M38">
        <v>4.95</v>
      </c>
      <c r="N38">
        <v>41.27</v>
      </c>
      <c r="O38">
        <v>1.51</v>
      </c>
      <c r="P38">
        <v>3.46</v>
      </c>
      <c r="Q38">
        <v>0</v>
      </c>
      <c r="R38" s="18">
        <f t="shared" si="3"/>
        <v>3146.3600000000006</v>
      </c>
      <c r="S38" s="19">
        <f t="shared" si="4"/>
        <v>1.6155947240605635</v>
      </c>
      <c r="T38" t="str">
        <f t="shared" si="2"/>
        <v>LAURO LORETO TEIXEIRA - 111</v>
      </c>
    </row>
    <row r="39" spans="1:20" x14ac:dyDescent="0.3">
      <c r="A39" t="s">
        <v>1005</v>
      </c>
      <c r="B39" t="s">
        <v>1054</v>
      </c>
      <c r="C39" s="5">
        <v>46113.23541666667</v>
      </c>
      <c r="D39" s="5">
        <v>46125.350451388891</v>
      </c>
      <c r="E39">
        <v>202795</v>
      </c>
      <c r="F39" t="s">
        <v>58</v>
      </c>
      <c r="G39" t="s">
        <v>1015</v>
      </c>
      <c r="H39">
        <v>2657.69</v>
      </c>
      <c r="I39">
        <v>1371.54</v>
      </c>
      <c r="J39">
        <v>1.9377420000000001</v>
      </c>
      <c r="K39">
        <v>330894.07</v>
      </c>
      <c r="L39">
        <v>333551.53999999998</v>
      </c>
      <c r="M39">
        <v>4.7</v>
      </c>
      <c r="N39">
        <v>28.77</v>
      </c>
      <c r="O39">
        <v>3.03</v>
      </c>
      <c r="P39">
        <v>2.46</v>
      </c>
      <c r="Q39">
        <v>0</v>
      </c>
      <c r="R39" s="18">
        <f t="shared" si="3"/>
        <v>2657.4699999999721</v>
      </c>
      <c r="S39" s="19">
        <f t="shared" si="4"/>
        <v>1.9377415168350907</v>
      </c>
      <c r="T39" t="str">
        <f t="shared" si="2"/>
        <v>LEANDRO CESAR VIEIRA DE OLIVEIRA - 1</v>
      </c>
    </row>
    <row r="40" spans="1:20" x14ac:dyDescent="0.3">
      <c r="A40" t="s">
        <v>1005</v>
      </c>
      <c r="B40" t="s">
        <v>1055</v>
      </c>
      <c r="C40" s="5">
        <v>46113.306828703702</v>
      </c>
      <c r="D40" s="5">
        <v>46122.615405092591</v>
      </c>
      <c r="E40">
        <v>206297</v>
      </c>
      <c r="F40" t="s">
        <v>1056</v>
      </c>
      <c r="G40" t="s">
        <v>1057</v>
      </c>
      <c r="H40">
        <v>710.16</v>
      </c>
      <c r="I40">
        <v>192.24</v>
      </c>
      <c r="J40">
        <v>3.6941320000000002</v>
      </c>
      <c r="K40">
        <v>39460.050000000003</v>
      </c>
      <c r="L40">
        <v>40170.06</v>
      </c>
      <c r="M40">
        <v>10.210000000000001</v>
      </c>
      <c r="N40">
        <v>7.62</v>
      </c>
      <c r="O40">
        <v>5.33</v>
      </c>
      <c r="P40">
        <v>7.0000000000000007E-2</v>
      </c>
      <c r="Q40">
        <v>0</v>
      </c>
      <c r="R40" s="18">
        <f t="shared" si="3"/>
        <v>710.00999999999476</v>
      </c>
      <c r="S40" s="19">
        <f t="shared" si="4"/>
        <v>3.6941323345817723</v>
      </c>
      <c r="T40" t="str">
        <f t="shared" si="2"/>
        <v>LUCAS STEKLAIN PEDRO - 50080</v>
      </c>
    </row>
    <row r="41" spans="1:20" x14ac:dyDescent="0.3">
      <c r="A41" t="s">
        <v>1005</v>
      </c>
      <c r="B41" t="s">
        <v>1058</v>
      </c>
      <c r="C41" s="5">
        <v>46113.292534722219</v>
      </c>
      <c r="D41" s="5">
        <v>46125.352256944447</v>
      </c>
      <c r="E41">
        <v>230378</v>
      </c>
      <c r="F41" t="s">
        <v>46</v>
      </c>
      <c r="G41" t="s">
        <v>1010</v>
      </c>
      <c r="H41">
        <v>371.28</v>
      </c>
      <c r="I41">
        <v>179.81</v>
      </c>
      <c r="J41">
        <v>2.0648460000000002</v>
      </c>
      <c r="K41">
        <v>92094.19</v>
      </c>
      <c r="L41">
        <v>92465.39</v>
      </c>
      <c r="M41">
        <v>5.27</v>
      </c>
      <c r="N41">
        <v>4.9800000000000004</v>
      </c>
      <c r="O41">
        <v>0.75</v>
      </c>
      <c r="P41">
        <v>0.27</v>
      </c>
      <c r="Q41">
        <v>0</v>
      </c>
      <c r="R41" s="18">
        <f t="shared" si="3"/>
        <v>371.19999999999709</v>
      </c>
      <c r="S41" s="19">
        <f t="shared" si="4"/>
        <v>2.0648462265724929</v>
      </c>
      <c r="T41" t="str">
        <f t="shared" si="2"/>
        <v>LUIZ ALEX DOS SANTOS - 167</v>
      </c>
    </row>
    <row r="42" spans="1:20" x14ac:dyDescent="0.3">
      <c r="A42" t="s">
        <v>1005</v>
      </c>
      <c r="B42" t="s">
        <v>1059</v>
      </c>
      <c r="C42" s="5">
        <v>46113.206250000003</v>
      </c>
      <c r="D42" s="5">
        <v>46125.349131944444</v>
      </c>
      <c r="E42">
        <v>198121</v>
      </c>
      <c r="F42" t="s">
        <v>63</v>
      </c>
      <c r="G42" t="s">
        <v>1007</v>
      </c>
      <c r="H42">
        <v>3501.47</v>
      </c>
      <c r="I42">
        <v>1751.06</v>
      </c>
      <c r="J42">
        <v>1.9996290000000001</v>
      </c>
      <c r="K42">
        <v>573020.48</v>
      </c>
      <c r="L42">
        <v>576521.6</v>
      </c>
      <c r="M42">
        <v>10.73</v>
      </c>
      <c r="N42">
        <v>31.69</v>
      </c>
      <c r="O42">
        <v>4.22</v>
      </c>
      <c r="P42">
        <v>7.14</v>
      </c>
      <c r="Q42">
        <v>0</v>
      </c>
      <c r="R42" s="18">
        <f t="shared" si="3"/>
        <v>3501.1199999999953</v>
      </c>
      <c r="S42" s="19">
        <f t="shared" si="4"/>
        <v>1.9996287962719723</v>
      </c>
      <c r="T42" t="str">
        <f t="shared" si="2"/>
        <v>LUIZ CARLOS COELHO - 3</v>
      </c>
    </row>
    <row r="43" spans="1:20" x14ac:dyDescent="0.3">
      <c r="A43" t="s">
        <v>1005</v>
      </c>
      <c r="B43" t="s">
        <v>1060</v>
      </c>
      <c r="C43" s="5">
        <v>46113.260196759256</v>
      </c>
      <c r="D43" s="5">
        <v>46124.308645833335</v>
      </c>
      <c r="E43">
        <v>202699</v>
      </c>
      <c r="F43" t="s">
        <v>71</v>
      </c>
      <c r="G43" t="s">
        <v>1015</v>
      </c>
      <c r="H43">
        <v>2104.16</v>
      </c>
      <c r="I43">
        <v>2073.85</v>
      </c>
      <c r="J43">
        <v>1.014615</v>
      </c>
      <c r="K43">
        <v>259972.19</v>
      </c>
      <c r="L43">
        <v>262076.23</v>
      </c>
      <c r="M43">
        <v>5.03</v>
      </c>
      <c r="N43">
        <v>19.329999999999998</v>
      </c>
      <c r="O43">
        <v>1.53</v>
      </c>
      <c r="P43">
        <v>8.17</v>
      </c>
      <c r="Q43">
        <v>0</v>
      </c>
      <c r="R43" s="18">
        <f t="shared" si="3"/>
        <v>2104.0400000000081</v>
      </c>
      <c r="S43" s="19">
        <f t="shared" si="4"/>
        <v>1.0146153289775055</v>
      </c>
      <c r="T43" t="str">
        <f t="shared" si="2"/>
        <v>LUIZ CEZAR KELCZESKI - 50073</v>
      </c>
    </row>
    <row r="44" spans="1:20" x14ac:dyDescent="0.3">
      <c r="A44" t="s">
        <v>1005</v>
      </c>
      <c r="B44" t="s">
        <v>1061</v>
      </c>
      <c r="C44" s="5">
        <v>46113.2497337963</v>
      </c>
      <c r="D44" s="5">
        <v>46120.395879629628</v>
      </c>
      <c r="E44">
        <v>197326</v>
      </c>
      <c r="F44" t="s">
        <v>82</v>
      </c>
      <c r="G44" t="s">
        <v>1062</v>
      </c>
      <c r="H44">
        <v>1197.6400000000001</v>
      </c>
      <c r="I44">
        <v>768.59</v>
      </c>
      <c r="J44">
        <v>1.55823</v>
      </c>
      <c r="K44">
        <v>511707.08</v>
      </c>
      <c r="L44">
        <v>512904.6</v>
      </c>
      <c r="M44">
        <v>5</v>
      </c>
      <c r="N44">
        <v>9.43</v>
      </c>
      <c r="O44">
        <v>4.1900000000000004</v>
      </c>
      <c r="P44">
        <v>4.49</v>
      </c>
      <c r="Q44">
        <v>0</v>
      </c>
      <c r="R44" s="18">
        <f t="shared" si="3"/>
        <v>1197.5199999999604</v>
      </c>
      <c r="S44" s="19">
        <f t="shared" si="4"/>
        <v>1.5582300055946605</v>
      </c>
      <c r="T44" t="str">
        <f t="shared" si="2"/>
        <v>LUIZ GERVASIO STROPARO - 10759</v>
      </c>
    </row>
    <row r="45" spans="1:20" x14ac:dyDescent="0.3">
      <c r="A45" t="s">
        <v>1005</v>
      </c>
      <c r="B45" t="s">
        <v>1063</v>
      </c>
      <c r="C45" s="5">
        <v>46113.69259259259</v>
      </c>
      <c r="D45" s="5">
        <v>46123.51390046296</v>
      </c>
      <c r="E45">
        <v>207399</v>
      </c>
      <c r="F45" t="s">
        <v>40</v>
      </c>
      <c r="G45" t="s">
        <v>1039</v>
      </c>
      <c r="H45">
        <v>1109.01</v>
      </c>
      <c r="I45">
        <v>506.83</v>
      </c>
      <c r="J45">
        <v>2.1881300000000001</v>
      </c>
      <c r="K45">
        <v>650305.05000000005</v>
      </c>
      <c r="L45">
        <v>651414</v>
      </c>
      <c r="M45">
        <v>6.68</v>
      </c>
      <c r="N45">
        <v>7.95</v>
      </c>
      <c r="O45">
        <v>2.87</v>
      </c>
      <c r="P45">
        <v>3.21</v>
      </c>
      <c r="Q45">
        <v>0</v>
      </c>
      <c r="R45" s="18">
        <f t="shared" si="3"/>
        <v>1108.9499999999534</v>
      </c>
      <c r="S45" s="19">
        <f t="shared" si="4"/>
        <v>2.1881301422567727</v>
      </c>
      <c r="T45" t="str">
        <f t="shared" si="2"/>
        <v>LUIZ TOME DOS SANTOS FILHO - 10844</v>
      </c>
    </row>
    <row r="46" spans="1:20" x14ac:dyDescent="0.3">
      <c r="A46" t="s">
        <v>1005</v>
      </c>
      <c r="B46" t="s">
        <v>1064</v>
      </c>
      <c r="C46" s="5">
        <v>46113.152013888888</v>
      </c>
      <c r="D46" s="5">
        <v>46125.346759259257</v>
      </c>
      <c r="E46">
        <v>203316</v>
      </c>
      <c r="F46" t="s">
        <v>38</v>
      </c>
      <c r="G46" t="s">
        <v>1012</v>
      </c>
      <c r="H46">
        <v>1942.81</v>
      </c>
      <c r="I46">
        <v>1287.01</v>
      </c>
      <c r="J46">
        <v>1.5095529999999999</v>
      </c>
      <c r="K46">
        <v>248367.92</v>
      </c>
      <c r="L46">
        <v>250310.52</v>
      </c>
      <c r="M46">
        <v>11.61</v>
      </c>
      <c r="N46">
        <v>18.75</v>
      </c>
      <c r="O46">
        <v>1.9</v>
      </c>
      <c r="P46">
        <v>5.53</v>
      </c>
      <c r="Q46">
        <v>0</v>
      </c>
      <c r="R46" s="18">
        <f t="shared" si="3"/>
        <v>1942.5999999999767</v>
      </c>
      <c r="S46" s="19">
        <f t="shared" si="4"/>
        <v>1.5095531503251722</v>
      </c>
      <c r="T46" t="str">
        <f t="shared" si="2"/>
        <v>MARCOS AURELIO NOGUEIRA - 235</v>
      </c>
    </row>
    <row r="47" spans="1:20" x14ac:dyDescent="0.3">
      <c r="A47" t="s">
        <v>1005</v>
      </c>
      <c r="B47" t="s">
        <v>1065</v>
      </c>
      <c r="C47" s="5">
        <v>46113.41064814815</v>
      </c>
      <c r="D47" s="5">
        <v>46125.328032407408</v>
      </c>
      <c r="E47">
        <v>205346</v>
      </c>
      <c r="F47" t="s">
        <v>54</v>
      </c>
      <c r="G47" t="s">
        <v>1012</v>
      </c>
      <c r="H47">
        <v>1623.57</v>
      </c>
      <c r="I47">
        <v>1218.6600000000001</v>
      </c>
      <c r="J47">
        <v>1.3322579999999999</v>
      </c>
      <c r="K47">
        <v>369214.45</v>
      </c>
      <c r="L47">
        <v>370837.92</v>
      </c>
      <c r="M47">
        <v>5.63</v>
      </c>
      <c r="N47">
        <v>12.68</v>
      </c>
      <c r="O47">
        <v>2.02</v>
      </c>
      <c r="P47">
        <v>8.5299999999999994</v>
      </c>
      <c r="Q47">
        <v>0</v>
      </c>
      <c r="R47" s="18">
        <f t="shared" si="3"/>
        <v>1623.4699999999721</v>
      </c>
      <c r="S47" s="19">
        <f t="shared" si="4"/>
        <v>1.3322583821574514</v>
      </c>
      <c r="T47" t="str">
        <f t="shared" si="2"/>
        <v>MARIO SERGIO DOS SANTOS ANDREOLA - 50101</v>
      </c>
    </row>
    <row r="48" spans="1:20" x14ac:dyDescent="0.3">
      <c r="A48" t="s">
        <v>1005</v>
      </c>
      <c r="B48" t="s">
        <v>1066</v>
      </c>
      <c r="C48" s="5">
        <v>46113.386712962965</v>
      </c>
      <c r="D48" s="5">
        <v>46123.586712962962</v>
      </c>
      <c r="E48">
        <v>192262</v>
      </c>
      <c r="F48" t="s">
        <v>42</v>
      </c>
      <c r="G48" t="s">
        <v>1012</v>
      </c>
      <c r="H48">
        <v>2682.11</v>
      </c>
      <c r="I48">
        <v>1344.33</v>
      </c>
      <c r="J48">
        <v>1.995128</v>
      </c>
      <c r="K48">
        <v>157166.07999999999</v>
      </c>
      <c r="L48">
        <v>159847.99</v>
      </c>
      <c r="M48">
        <v>20.37</v>
      </c>
      <c r="N48">
        <v>26.24</v>
      </c>
      <c r="O48">
        <v>3.9</v>
      </c>
      <c r="P48">
        <v>5.94</v>
      </c>
      <c r="Q48">
        <v>0</v>
      </c>
      <c r="R48" s="18">
        <f t="shared" si="3"/>
        <v>2681.9100000000035</v>
      </c>
      <c r="S48" s="19">
        <f t="shared" si="4"/>
        <v>1.9951276844227237</v>
      </c>
      <c r="T48" t="str">
        <f t="shared" si="2"/>
        <v>MARIOVANY QUIRINO GOMES - 200</v>
      </c>
    </row>
    <row r="49" spans="1:20" x14ac:dyDescent="0.3">
      <c r="A49" t="s">
        <v>1005</v>
      </c>
      <c r="B49" t="s">
        <v>1067</v>
      </c>
      <c r="C49" s="5">
        <v>46113.313692129632</v>
      </c>
      <c r="D49" s="5">
        <v>46125.35056712963</v>
      </c>
      <c r="E49">
        <v>209944</v>
      </c>
      <c r="F49" t="s">
        <v>62</v>
      </c>
      <c r="G49" t="s">
        <v>1007</v>
      </c>
      <c r="H49">
        <v>2596.2199999999998</v>
      </c>
      <c r="I49">
        <v>1139.45</v>
      </c>
      <c r="J49">
        <v>2.2784849999999999</v>
      </c>
      <c r="K49">
        <v>532232.05000000005</v>
      </c>
      <c r="L49">
        <v>534827.99</v>
      </c>
      <c r="M49">
        <v>6.62</v>
      </c>
      <c r="N49">
        <v>24.92</v>
      </c>
      <c r="O49">
        <v>24.92</v>
      </c>
      <c r="P49">
        <v>3.2</v>
      </c>
      <c r="Q49">
        <v>0</v>
      </c>
      <c r="R49" s="18">
        <f t="shared" si="3"/>
        <v>2595.9399999999441</v>
      </c>
      <c r="S49" s="19">
        <f t="shared" si="4"/>
        <v>2.2784852341041728</v>
      </c>
      <c r="T49" t="str">
        <f t="shared" si="2"/>
        <v>NEY CESAR WANDERLINDE LEINEKER - 40</v>
      </c>
    </row>
    <row r="50" spans="1:20" x14ac:dyDescent="0.3">
      <c r="A50" t="s">
        <v>1005</v>
      </c>
      <c r="B50" t="s">
        <v>1068</v>
      </c>
      <c r="C50" s="5">
        <v>46113.235902777778</v>
      </c>
      <c r="D50" s="5">
        <v>46125.348541666666</v>
      </c>
      <c r="E50">
        <v>192355</v>
      </c>
      <c r="F50" t="s">
        <v>35</v>
      </c>
      <c r="G50" t="s">
        <v>1012</v>
      </c>
      <c r="H50">
        <v>1018.29</v>
      </c>
      <c r="I50">
        <v>639.58000000000004</v>
      </c>
      <c r="J50">
        <v>1.592123</v>
      </c>
      <c r="K50">
        <v>179256.8</v>
      </c>
      <c r="L50">
        <v>180274.99</v>
      </c>
      <c r="M50">
        <v>18.940000000000001</v>
      </c>
      <c r="N50">
        <v>10.74</v>
      </c>
      <c r="O50">
        <v>1.32</v>
      </c>
      <c r="P50">
        <v>1.79</v>
      </c>
      <c r="Q50">
        <v>0</v>
      </c>
      <c r="R50" s="18">
        <f t="shared" si="3"/>
        <v>1018.1900000000023</v>
      </c>
      <c r="S50" s="19">
        <f t="shared" si="4"/>
        <v>1.5921229556896712</v>
      </c>
      <c r="T50" t="str">
        <f t="shared" si="2"/>
        <v>ORVITO ANDERLE - 217</v>
      </c>
    </row>
    <row r="51" spans="1:20" x14ac:dyDescent="0.3">
      <c r="A51" t="s">
        <v>1005</v>
      </c>
      <c r="B51" t="s">
        <v>1069</v>
      </c>
      <c r="C51" s="5">
        <v>46113.2734375</v>
      </c>
      <c r="D51" s="5">
        <v>46125.314560185187</v>
      </c>
      <c r="E51">
        <v>197010</v>
      </c>
      <c r="F51" t="s">
        <v>86</v>
      </c>
      <c r="G51" t="s">
        <v>1007</v>
      </c>
      <c r="H51">
        <v>3414.57</v>
      </c>
      <c r="I51">
        <v>2335.91</v>
      </c>
      <c r="J51">
        <v>1.461773</v>
      </c>
      <c r="K51">
        <v>548545.18999999994</v>
      </c>
      <c r="L51">
        <v>551959.41</v>
      </c>
      <c r="M51">
        <v>4.05</v>
      </c>
      <c r="N51">
        <v>25.73</v>
      </c>
      <c r="O51">
        <v>2.11</v>
      </c>
      <c r="P51">
        <v>16.170000000000002</v>
      </c>
      <c r="Q51">
        <v>0</v>
      </c>
      <c r="R51" s="18">
        <f t="shared" si="3"/>
        <v>3414.2200000000885</v>
      </c>
      <c r="S51" s="19">
        <f t="shared" si="4"/>
        <v>1.4617729278953386</v>
      </c>
      <c r="T51" t="str">
        <f t="shared" si="2"/>
        <v>OSVALDIR RIBEIRO PINTO - 52</v>
      </c>
    </row>
    <row r="52" spans="1:20" x14ac:dyDescent="0.3">
      <c r="A52" t="s">
        <v>1005</v>
      </c>
      <c r="B52" t="s">
        <v>1070</v>
      </c>
      <c r="C52" s="5">
        <v>46113.454826388886</v>
      </c>
      <c r="D52" s="5">
        <v>46125.286319444444</v>
      </c>
      <c r="E52">
        <v>213503</v>
      </c>
      <c r="F52" t="s">
        <v>1071</v>
      </c>
      <c r="G52" t="s">
        <v>1072</v>
      </c>
      <c r="H52">
        <v>1348.5</v>
      </c>
      <c r="I52">
        <v>462.52</v>
      </c>
      <c r="J52">
        <v>2.9155500000000001</v>
      </c>
      <c r="K52">
        <v>352128.04</v>
      </c>
      <c r="L52">
        <v>353476.45</v>
      </c>
      <c r="M52">
        <v>6.71</v>
      </c>
      <c r="N52">
        <v>15.41</v>
      </c>
      <c r="O52">
        <v>1.63</v>
      </c>
      <c r="P52">
        <v>0.44</v>
      </c>
      <c r="Q52">
        <v>0</v>
      </c>
      <c r="R52" s="18">
        <f t="shared" si="3"/>
        <v>1348.4100000000326</v>
      </c>
      <c r="S52" s="19">
        <f t="shared" si="4"/>
        <v>2.9155495978552279</v>
      </c>
      <c r="T52" t="str">
        <f t="shared" si="2"/>
        <v>PABLO PEREIRA PEREIRA - 964</v>
      </c>
    </row>
    <row r="53" spans="1:20" x14ac:dyDescent="0.3">
      <c r="A53" t="s">
        <v>1005</v>
      </c>
      <c r="B53" t="s">
        <v>1073</v>
      </c>
      <c r="C53" s="5">
        <v>46113.28943287037</v>
      </c>
      <c r="D53" s="5">
        <v>46122.476944444446</v>
      </c>
      <c r="E53">
        <v>197170</v>
      </c>
      <c r="F53" t="s">
        <v>36</v>
      </c>
      <c r="G53" t="s">
        <v>1032</v>
      </c>
      <c r="H53">
        <v>2132.67</v>
      </c>
      <c r="I53">
        <v>1001.76</v>
      </c>
      <c r="J53">
        <v>2.1289229999999999</v>
      </c>
      <c r="K53">
        <v>161387.28</v>
      </c>
      <c r="L53">
        <v>163519.72</v>
      </c>
      <c r="M53">
        <v>31.29</v>
      </c>
      <c r="N53">
        <v>23.63</v>
      </c>
      <c r="O53">
        <v>4.0199999999999996</v>
      </c>
      <c r="P53">
        <v>0.68</v>
      </c>
      <c r="Q53">
        <v>0</v>
      </c>
      <c r="R53" s="18">
        <f t="shared" si="3"/>
        <v>2132.4400000000023</v>
      </c>
      <c r="S53" s="19">
        <f t="shared" si="4"/>
        <v>2.1289230953521803</v>
      </c>
      <c r="T53" t="str">
        <f t="shared" si="2"/>
        <v>PAULO ROBERTO EVANGELISTA SOARES - 255</v>
      </c>
    </row>
    <row r="54" spans="1:20" x14ac:dyDescent="0.3">
      <c r="A54" t="s">
        <v>1005</v>
      </c>
      <c r="B54" t="s">
        <v>1074</v>
      </c>
      <c r="C54" s="5">
        <v>46113.26829861111</v>
      </c>
      <c r="D54" s="5">
        <v>46125.329143518517</v>
      </c>
      <c r="E54">
        <v>209033</v>
      </c>
      <c r="F54" t="s">
        <v>91</v>
      </c>
      <c r="G54" t="s">
        <v>1015</v>
      </c>
      <c r="H54">
        <v>2699.28</v>
      </c>
      <c r="I54">
        <v>1859.76</v>
      </c>
      <c r="J54">
        <v>1.4514130000000001</v>
      </c>
      <c r="K54">
        <v>246010.16</v>
      </c>
      <c r="L54">
        <v>248709.21</v>
      </c>
      <c r="M54">
        <v>11.78</v>
      </c>
      <c r="N54">
        <v>33.51</v>
      </c>
      <c r="O54">
        <v>33.51</v>
      </c>
      <c r="P54">
        <v>0.54</v>
      </c>
      <c r="Q54">
        <v>0</v>
      </c>
      <c r="R54" s="18">
        <f t="shared" si="3"/>
        <v>2699.0499999999884</v>
      </c>
      <c r="S54" s="19">
        <f t="shared" si="4"/>
        <v>1.4514130855594272</v>
      </c>
      <c r="T54" t="str">
        <f t="shared" si="2"/>
        <v>RAFAEL SOUZA MIRANDA - 5004</v>
      </c>
    </row>
    <row r="55" spans="1:20" x14ac:dyDescent="0.3">
      <c r="A55" t="s">
        <v>1005</v>
      </c>
      <c r="B55" t="s">
        <v>1075</v>
      </c>
      <c r="C55" s="5">
        <v>46115.345509259256</v>
      </c>
      <c r="D55" s="5">
        <v>46124.720486111109</v>
      </c>
      <c r="E55">
        <v>198253</v>
      </c>
      <c r="F55" t="s">
        <v>44</v>
      </c>
      <c r="G55" t="s">
        <v>1076</v>
      </c>
      <c r="H55">
        <v>2729.23</v>
      </c>
      <c r="I55">
        <v>1642.61</v>
      </c>
      <c r="J55">
        <v>1.6615200000000001</v>
      </c>
      <c r="K55">
        <v>401953.31</v>
      </c>
      <c r="L55">
        <v>404682.34</v>
      </c>
      <c r="M55">
        <v>4.74</v>
      </c>
      <c r="N55">
        <v>26.31</v>
      </c>
      <c r="O55">
        <v>4.13</v>
      </c>
      <c r="P55">
        <v>7.27</v>
      </c>
      <c r="Q55">
        <v>0</v>
      </c>
      <c r="R55" s="18">
        <f t="shared" si="3"/>
        <v>2729.0300000000279</v>
      </c>
      <c r="S55" s="19">
        <f t="shared" si="4"/>
        <v>1.6615203852405624</v>
      </c>
      <c r="T55" t="str">
        <f t="shared" si="2"/>
        <v>REINALDO FERNEDA - 249</v>
      </c>
    </row>
    <row r="56" spans="1:20" x14ac:dyDescent="0.3">
      <c r="A56" t="s">
        <v>1005</v>
      </c>
      <c r="B56" t="s">
        <v>1077</v>
      </c>
      <c r="C56" s="5">
        <v>46113.247465277775</v>
      </c>
      <c r="D56" s="5">
        <v>46125.296597222223</v>
      </c>
      <c r="E56">
        <v>199084</v>
      </c>
      <c r="F56" t="s">
        <v>60</v>
      </c>
      <c r="G56" t="s">
        <v>1012</v>
      </c>
      <c r="H56">
        <v>1432.74</v>
      </c>
      <c r="I56">
        <v>962.79</v>
      </c>
      <c r="J56">
        <v>1.488113</v>
      </c>
      <c r="K56">
        <v>189603.07</v>
      </c>
      <c r="L56">
        <v>191035.75</v>
      </c>
      <c r="M56">
        <v>15.67</v>
      </c>
      <c r="N56">
        <v>13.58</v>
      </c>
      <c r="O56">
        <v>1.42</v>
      </c>
      <c r="P56">
        <v>3.85</v>
      </c>
      <c r="Q56">
        <v>0</v>
      </c>
      <c r="R56" s="18">
        <f t="shared" si="3"/>
        <v>1432.679999999993</v>
      </c>
      <c r="S56" s="19">
        <f t="shared" si="4"/>
        <v>1.488112672545415</v>
      </c>
      <c r="T56" t="str">
        <f t="shared" si="2"/>
        <v>RICARDO FERREIRA DOS SANTOS - 5002</v>
      </c>
    </row>
    <row r="57" spans="1:20" x14ac:dyDescent="0.3">
      <c r="A57" t="s">
        <v>1005</v>
      </c>
      <c r="B57" t="s">
        <v>1078</v>
      </c>
      <c r="C57" s="5">
        <v>46113.331041666665</v>
      </c>
      <c r="D57" s="5">
        <v>46123.651226851849</v>
      </c>
      <c r="E57">
        <v>223655</v>
      </c>
      <c r="F57" t="s">
        <v>1079</v>
      </c>
      <c r="G57" t="s">
        <v>1028</v>
      </c>
      <c r="H57">
        <v>1934.03</v>
      </c>
      <c r="I57">
        <v>0</v>
      </c>
      <c r="J57" t="s">
        <v>1029</v>
      </c>
      <c r="K57">
        <v>88182.46</v>
      </c>
      <c r="L57">
        <v>90116.35</v>
      </c>
      <c r="M57">
        <v>3.61</v>
      </c>
      <c r="N57">
        <v>12.37</v>
      </c>
      <c r="O57">
        <v>3.6</v>
      </c>
      <c r="P57">
        <v>9.7200000000000006</v>
      </c>
      <c r="Q57">
        <v>0</v>
      </c>
      <c r="R57" s="18">
        <f t="shared" si="3"/>
        <v>1933.8899999999994</v>
      </c>
      <c r="S57" s="19" t="e">
        <f t="shared" si="4"/>
        <v>#DIV/0!</v>
      </c>
      <c r="T57" t="str">
        <f t="shared" si="2"/>
        <v>ROBSON RODRIGUES - 1027</v>
      </c>
    </row>
    <row r="58" spans="1:20" x14ac:dyDescent="0.3">
      <c r="A58" t="s">
        <v>1005</v>
      </c>
      <c r="B58" t="s">
        <v>1080</v>
      </c>
      <c r="C58" s="5">
        <v>46113.344629629632</v>
      </c>
      <c r="D58" s="5">
        <v>46125.275358796294</v>
      </c>
      <c r="E58">
        <v>198339</v>
      </c>
      <c r="F58" t="s">
        <v>72</v>
      </c>
      <c r="G58" t="s">
        <v>1012</v>
      </c>
      <c r="H58">
        <v>2011.89</v>
      </c>
      <c r="I58">
        <v>1062.83</v>
      </c>
      <c r="J58">
        <v>1.8929560000000001</v>
      </c>
      <c r="K58">
        <v>250546.71</v>
      </c>
      <c r="L58">
        <v>252558.4</v>
      </c>
      <c r="M58">
        <v>8.15</v>
      </c>
      <c r="N58">
        <v>18.920000000000002</v>
      </c>
      <c r="O58">
        <v>2.34</v>
      </c>
      <c r="P58">
        <v>3.93</v>
      </c>
      <c r="Q58">
        <v>0</v>
      </c>
      <c r="R58" s="18">
        <f t="shared" si="3"/>
        <v>2011.6900000000023</v>
      </c>
      <c r="S58" s="19">
        <f t="shared" si="4"/>
        <v>1.8929555996725724</v>
      </c>
      <c r="T58" t="str">
        <f t="shared" si="2"/>
        <v>RODRIGO DOS SANTOS ALVES - 250</v>
      </c>
    </row>
    <row r="59" spans="1:20" x14ac:dyDescent="0.3">
      <c r="A59" t="s">
        <v>1005</v>
      </c>
      <c r="B59" t="s">
        <v>1081</v>
      </c>
      <c r="C59" s="5">
        <v>46113.290891203702</v>
      </c>
      <c r="D59" s="5">
        <v>46125.346817129626</v>
      </c>
      <c r="E59">
        <v>209917</v>
      </c>
      <c r="F59" t="s">
        <v>55</v>
      </c>
      <c r="G59" t="s">
        <v>1015</v>
      </c>
      <c r="H59">
        <v>1998.71</v>
      </c>
      <c r="I59">
        <v>966.15</v>
      </c>
      <c r="J59">
        <v>2.068737</v>
      </c>
      <c r="K59">
        <v>266571.15000000002</v>
      </c>
      <c r="L59">
        <v>268569.69</v>
      </c>
      <c r="M59">
        <v>17.059999999999999</v>
      </c>
      <c r="N59">
        <v>21.13</v>
      </c>
      <c r="O59">
        <v>4.28</v>
      </c>
      <c r="P59">
        <v>3.23</v>
      </c>
      <c r="Q59">
        <v>0</v>
      </c>
      <c r="R59" s="18">
        <f t="shared" si="3"/>
        <v>1998.539999999979</v>
      </c>
      <c r="S59" s="19">
        <f t="shared" si="4"/>
        <v>2.0687367386016664</v>
      </c>
      <c r="T59" t="str">
        <f t="shared" si="2"/>
        <v>SAMUEL CRUZ TORRES DE BRITO - 189</v>
      </c>
    </row>
    <row r="60" spans="1:20" x14ac:dyDescent="0.3">
      <c r="A60" t="s">
        <v>1005</v>
      </c>
      <c r="B60" t="s">
        <v>1082</v>
      </c>
      <c r="C60" s="5">
        <v>46113.20103009259</v>
      </c>
      <c r="D60" s="5">
        <v>46125.334803240738</v>
      </c>
      <c r="E60">
        <v>202526</v>
      </c>
      <c r="F60" t="s">
        <v>47</v>
      </c>
      <c r="G60" t="s">
        <v>1015</v>
      </c>
      <c r="H60">
        <v>2385.0500000000002</v>
      </c>
      <c r="I60">
        <v>1118.55</v>
      </c>
      <c r="J60">
        <v>2.132269</v>
      </c>
      <c r="K60">
        <v>273844.55</v>
      </c>
      <c r="L60">
        <v>276229.31</v>
      </c>
      <c r="M60">
        <v>8.16</v>
      </c>
      <c r="N60">
        <v>25.77</v>
      </c>
      <c r="O60">
        <v>2.9</v>
      </c>
      <c r="P60">
        <v>1.22</v>
      </c>
      <c r="Q60">
        <v>0</v>
      </c>
      <c r="R60" s="18">
        <f t="shared" si="3"/>
        <v>2384.7600000000093</v>
      </c>
      <c r="S60" s="19">
        <f t="shared" si="4"/>
        <v>2.1322694559921329</v>
      </c>
      <c r="T60" t="str">
        <f t="shared" si="2"/>
        <v>SILAS DE LIMA - 225</v>
      </c>
    </row>
    <row r="61" spans="1:20" x14ac:dyDescent="0.3">
      <c r="A61" t="s">
        <v>1005</v>
      </c>
      <c r="B61" t="s">
        <v>1083</v>
      </c>
      <c r="C61" s="5">
        <v>46113.200428240743</v>
      </c>
      <c r="D61" s="5">
        <v>46125.336909722224</v>
      </c>
      <c r="E61">
        <v>199556</v>
      </c>
      <c r="F61" t="s">
        <v>64</v>
      </c>
      <c r="G61" t="s">
        <v>1015</v>
      </c>
      <c r="H61">
        <v>3125.55</v>
      </c>
      <c r="I61">
        <v>1581.17</v>
      </c>
      <c r="J61">
        <v>1.9767319999999999</v>
      </c>
      <c r="K61">
        <v>276869.39</v>
      </c>
      <c r="L61">
        <v>279994.67</v>
      </c>
      <c r="M61">
        <v>6.89</v>
      </c>
      <c r="N61">
        <v>29.9</v>
      </c>
      <c r="O61">
        <v>4.1900000000000004</v>
      </c>
      <c r="P61">
        <v>4.74</v>
      </c>
      <c r="Q61">
        <v>0</v>
      </c>
      <c r="R61" s="18">
        <f t="shared" si="3"/>
        <v>3125.2799999999697</v>
      </c>
      <c r="S61" s="19">
        <f t="shared" si="4"/>
        <v>1.9767324196639198</v>
      </c>
      <c r="T61" t="str">
        <f t="shared" si="2"/>
        <v>VALDEREZ MAINARDES - 229</v>
      </c>
    </row>
    <row r="62" spans="1:20" x14ac:dyDescent="0.3">
      <c r="A62" t="s">
        <v>1005</v>
      </c>
      <c r="B62" t="s">
        <v>1084</v>
      </c>
      <c r="C62" s="5">
        <v>46113.356666666667</v>
      </c>
      <c r="D62" s="5">
        <v>46123.496574074074</v>
      </c>
      <c r="E62">
        <v>198586</v>
      </c>
      <c r="F62" t="s">
        <v>59</v>
      </c>
      <c r="G62" t="s">
        <v>1012</v>
      </c>
      <c r="H62">
        <v>1066.51</v>
      </c>
      <c r="I62">
        <v>529.5</v>
      </c>
      <c r="J62">
        <v>2.0141830000000001</v>
      </c>
      <c r="K62">
        <v>436746.55</v>
      </c>
      <c r="L62">
        <v>437812.81</v>
      </c>
      <c r="M62">
        <v>8.35</v>
      </c>
      <c r="N62">
        <v>13.28</v>
      </c>
      <c r="O62">
        <v>3.56</v>
      </c>
      <c r="P62">
        <v>1.8</v>
      </c>
      <c r="Q62">
        <v>0</v>
      </c>
      <c r="R62" s="18">
        <f t="shared" si="3"/>
        <v>1066.2600000000093</v>
      </c>
      <c r="S62" s="19">
        <f t="shared" si="4"/>
        <v>2.0141831916902739</v>
      </c>
      <c r="T62" t="str">
        <f t="shared" si="2"/>
        <v>VILSO DE OLIVEIRA COSTA - 78</v>
      </c>
    </row>
    <row r="63" spans="1:20" x14ac:dyDescent="0.3">
      <c r="A63" t="s">
        <v>1005</v>
      </c>
      <c r="B63" t="s">
        <v>1085</v>
      </c>
      <c r="C63" s="5">
        <v>46113.308935185189</v>
      </c>
      <c r="D63" s="5">
        <v>46124.573587962965</v>
      </c>
      <c r="E63">
        <v>229502</v>
      </c>
      <c r="F63" t="s">
        <v>83</v>
      </c>
      <c r="G63" t="s">
        <v>1010</v>
      </c>
      <c r="H63">
        <v>3795.52</v>
      </c>
      <c r="I63">
        <v>2084.4</v>
      </c>
      <c r="J63">
        <v>1.8209169999999999</v>
      </c>
      <c r="K63">
        <v>108708.81</v>
      </c>
      <c r="L63">
        <v>112504.1</v>
      </c>
      <c r="M63">
        <v>3.84</v>
      </c>
      <c r="N63">
        <v>37.020000000000003</v>
      </c>
      <c r="O63">
        <v>1.38</v>
      </c>
      <c r="P63">
        <v>4.46</v>
      </c>
      <c r="Q63">
        <v>0</v>
      </c>
      <c r="R63" s="18">
        <f t="shared" si="3"/>
        <v>3795.2900000000081</v>
      </c>
      <c r="S63" s="19">
        <f t="shared" si="4"/>
        <v>1.8209172903473421</v>
      </c>
      <c r="T63" t="str">
        <f t="shared" si="2"/>
        <v>VITOR RAFAEL PEDROZO - 143</v>
      </c>
    </row>
    <row r="64" spans="1:20" x14ac:dyDescent="0.3">
      <c r="A64" t="s">
        <v>1005</v>
      </c>
      <c r="B64" t="s">
        <v>1086</v>
      </c>
      <c r="C64" s="5">
        <v>46113.50677083333</v>
      </c>
      <c r="D64" s="5">
        <v>46125.332361111112</v>
      </c>
      <c r="E64">
        <v>208928</v>
      </c>
      <c r="F64" t="s">
        <v>67</v>
      </c>
      <c r="G64" t="s">
        <v>1039</v>
      </c>
      <c r="H64">
        <v>2524.84</v>
      </c>
      <c r="I64">
        <v>1087.83</v>
      </c>
      <c r="J64">
        <v>2.3209879999999998</v>
      </c>
      <c r="K64">
        <v>663416.72</v>
      </c>
      <c r="L64">
        <v>665941.39</v>
      </c>
      <c r="M64">
        <v>6.18</v>
      </c>
      <c r="N64">
        <v>20.81</v>
      </c>
      <c r="O64">
        <v>14.43</v>
      </c>
      <c r="P64">
        <v>1.88</v>
      </c>
      <c r="Q64">
        <v>0</v>
      </c>
      <c r="R64" s="18">
        <f t="shared" si="3"/>
        <v>2524.6700000000419</v>
      </c>
      <c r="S64" s="19">
        <f t="shared" si="4"/>
        <v>2.3209876543209877</v>
      </c>
      <c r="T64" t="str">
        <f t="shared" si="2"/>
        <v>VLADEMIR JORGE SANTOS - 208</v>
      </c>
    </row>
    <row r="65" spans="1:20" x14ac:dyDescent="0.3">
      <c r="A65" t="s">
        <v>1005</v>
      </c>
      <c r="B65" t="s">
        <v>1087</v>
      </c>
      <c r="C65" s="5">
        <v>46113.278587962966</v>
      </c>
      <c r="D65" s="5">
        <v>46125.247916666667</v>
      </c>
      <c r="E65">
        <v>201099</v>
      </c>
      <c r="F65" t="s">
        <v>100</v>
      </c>
      <c r="G65" t="s">
        <v>1015</v>
      </c>
      <c r="H65">
        <v>2684.18</v>
      </c>
      <c r="I65">
        <v>1775.16</v>
      </c>
      <c r="J65">
        <v>1.512078</v>
      </c>
      <c r="K65">
        <v>143481.89000000001</v>
      </c>
      <c r="L65">
        <v>146165.85999999999</v>
      </c>
      <c r="M65">
        <v>7.01</v>
      </c>
      <c r="N65">
        <v>25.41</v>
      </c>
      <c r="O65">
        <v>2.2400000000000002</v>
      </c>
      <c r="P65">
        <v>9.41</v>
      </c>
      <c r="Q65">
        <v>0</v>
      </c>
      <c r="R65" s="18">
        <f t="shared" si="3"/>
        <v>2683.9699999999721</v>
      </c>
      <c r="S65" s="19">
        <f t="shared" si="4"/>
        <v>1.5120777845377316</v>
      </c>
      <c r="T65" t="str">
        <f t="shared" si="2"/>
        <v>WALDECIR JOSE XAVIER - 135</v>
      </c>
    </row>
    <row r="66" spans="1:20" x14ac:dyDescent="0.3">
      <c r="A66" t="s">
        <v>1005</v>
      </c>
      <c r="B66" t="s">
        <v>1088</v>
      </c>
      <c r="C66" s="5">
        <v>46113.276944444442</v>
      </c>
      <c r="D66" s="5">
        <v>46123.742384259262</v>
      </c>
      <c r="E66">
        <v>198120</v>
      </c>
      <c r="F66" t="s">
        <v>88</v>
      </c>
      <c r="G66" t="s">
        <v>1007</v>
      </c>
      <c r="H66">
        <v>1945.88</v>
      </c>
      <c r="I66">
        <v>1120.5</v>
      </c>
      <c r="J66">
        <v>1.736618</v>
      </c>
      <c r="K66">
        <v>473885.89</v>
      </c>
      <c r="L66">
        <v>475831.41</v>
      </c>
      <c r="M66">
        <v>7.79</v>
      </c>
      <c r="N66">
        <v>22.49</v>
      </c>
      <c r="O66">
        <v>4.26</v>
      </c>
      <c r="P66">
        <v>5.67</v>
      </c>
      <c r="Q66">
        <v>0</v>
      </c>
      <c r="R66" s="18">
        <f t="shared" ref="R66:R97" si="5">L66-K66</f>
        <v>1945.5199999999604</v>
      </c>
      <c r="S66" s="19">
        <f t="shared" ref="S66:S97" si="6">H66/I66</f>
        <v>1.7366175814368587</v>
      </c>
      <c r="T66" t="str">
        <f t="shared" si="2"/>
        <v>WERNER DUCK - 47</v>
      </c>
    </row>
    <row r="67" spans="1:20" x14ac:dyDescent="0.3">
      <c r="A67" t="s">
        <v>1005</v>
      </c>
      <c r="B67" t="s">
        <v>1089</v>
      </c>
      <c r="C67" s="5">
        <v>46113.62773148148</v>
      </c>
      <c r="D67" s="5">
        <v>46125.276099537034</v>
      </c>
      <c r="E67">
        <v>204715</v>
      </c>
      <c r="F67" t="s">
        <v>68</v>
      </c>
      <c r="G67" t="s">
        <v>1015</v>
      </c>
      <c r="H67">
        <v>1368.07</v>
      </c>
      <c r="I67">
        <v>888.93</v>
      </c>
      <c r="J67">
        <v>1.5390079999999999</v>
      </c>
      <c r="K67">
        <v>211877.66</v>
      </c>
      <c r="L67">
        <v>213245.66</v>
      </c>
      <c r="M67">
        <v>8.4600000000000009</v>
      </c>
      <c r="N67">
        <v>13.45</v>
      </c>
      <c r="O67">
        <v>1.45</v>
      </c>
      <c r="P67">
        <v>2.71</v>
      </c>
      <c r="Q67">
        <v>0</v>
      </c>
      <c r="R67" s="18">
        <f t="shared" si="5"/>
        <v>1368</v>
      </c>
      <c r="S67" s="19">
        <f t="shared" si="6"/>
        <v>1.5390075708998459</v>
      </c>
      <c r="T67" t="str">
        <f t="shared" ref="T67:T130" si="7">TRIM(B67)</f>
        <v>WILSON CARNEIRO DA SILVA - 246</v>
      </c>
    </row>
    <row r="68" spans="1:20" x14ac:dyDescent="0.3">
      <c r="A68" t="s">
        <v>1090</v>
      </c>
      <c r="B68" t="s">
        <v>1091</v>
      </c>
      <c r="C68" s="5">
        <v>46113.273009259261</v>
      </c>
      <c r="D68" s="5">
        <v>46124.732685185183</v>
      </c>
      <c r="E68">
        <v>229836</v>
      </c>
      <c r="F68" t="s">
        <v>77</v>
      </c>
      <c r="G68" t="s">
        <v>1010</v>
      </c>
      <c r="H68">
        <v>2196.09</v>
      </c>
      <c r="I68">
        <v>1208.1099999999999</v>
      </c>
      <c r="J68">
        <v>1.81779</v>
      </c>
      <c r="K68">
        <v>81531.16</v>
      </c>
      <c r="L68">
        <v>83727</v>
      </c>
      <c r="M68">
        <v>10.1</v>
      </c>
      <c r="N68">
        <v>19</v>
      </c>
      <c r="O68">
        <v>1.79</v>
      </c>
      <c r="P68">
        <v>2.0299999999999998</v>
      </c>
      <c r="Q68">
        <v>0</v>
      </c>
      <c r="R68" s="18">
        <f t="shared" si="5"/>
        <v>2195.8399999999965</v>
      </c>
      <c r="S68" s="19">
        <f t="shared" si="6"/>
        <v>1.8177897707990169</v>
      </c>
      <c r="T68" t="str">
        <f t="shared" si="7"/>
        <v>ROBERTO RIVELINO CABRAL - 234</v>
      </c>
    </row>
    <row r="69" spans="1:20" x14ac:dyDescent="0.3">
      <c r="A69" t="s">
        <v>1092</v>
      </c>
      <c r="B69" t="s">
        <v>1093</v>
      </c>
      <c r="C69" s="5">
        <v>46113.305243055554</v>
      </c>
      <c r="D69" s="5">
        <v>46125.355983796297</v>
      </c>
      <c r="E69">
        <v>213486</v>
      </c>
      <c r="F69" t="s">
        <v>1094</v>
      </c>
      <c r="G69" t="s">
        <v>1095</v>
      </c>
      <c r="H69">
        <v>1844.36</v>
      </c>
      <c r="I69">
        <v>545.09</v>
      </c>
      <c r="J69">
        <v>3.383588</v>
      </c>
      <c r="K69">
        <v>540480.54</v>
      </c>
      <c r="L69">
        <v>542324.68999999994</v>
      </c>
      <c r="M69">
        <v>4.28</v>
      </c>
      <c r="N69">
        <v>15.62</v>
      </c>
      <c r="O69">
        <v>4.83</v>
      </c>
      <c r="P69">
        <v>0.89</v>
      </c>
      <c r="Q69">
        <v>0</v>
      </c>
      <c r="R69" s="18">
        <f t="shared" si="5"/>
        <v>1844.1499999999069</v>
      </c>
      <c r="S69" s="19">
        <f t="shared" si="6"/>
        <v>3.3835880313342748</v>
      </c>
      <c r="T69" t="str">
        <f t="shared" si="7"/>
        <v>NÃO LOGADO</v>
      </c>
    </row>
    <row r="70" spans="1:20" x14ac:dyDescent="0.3">
      <c r="A70" t="s">
        <v>1092</v>
      </c>
      <c r="B70" t="s">
        <v>1096</v>
      </c>
      <c r="C70" s="5">
        <v>46113.278148148151</v>
      </c>
      <c r="D70" s="5">
        <v>46123.704212962963</v>
      </c>
      <c r="E70">
        <v>198628</v>
      </c>
      <c r="F70" t="s">
        <v>1097</v>
      </c>
      <c r="G70" t="s">
        <v>1098</v>
      </c>
      <c r="H70">
        <v>665.61</v>
      </c>
      <c r="I70">
        <v>303.54000000000002</v>
      </c>
      <c r="J70">
        <v>2.192825</v>
      </c>
      <c r="K70">
        <v>291722.46000000002</v>
      </c>
      <c r="L70">
        <v>292388.03000000003</v>
      </c>
      <c r="M70">
        <v>2.2999999999999998</v>
      </c>
      <c r="N70">
        <v>2</v>
      </c>
      <c r="O70">
        <v>0.5</v>
      </c>
      <c r="P70">
        <v>6.86</v>
      </c>
      <c r="Q70">
        <v>0</v>
      </c>
      <c r="R70" s="18">
        <f t="shared" si="5"/>
        <v>665.57000000000698</v>
      </c>
      <c r="S70" s="19">
        <f t="shared" si="6"/>
        <v>2.1928246689068986</v>
      </c>
      <c r="T70" t="str">
        <f t="shared" si="7"/>
        <v>BRUNO EUSTAQUIO PEREIRA - 668</v>
      </c>
    </row>
    <row r="71" spans="1:20" x14ac:dyDescent="0.3">
      <c r="A71" t="s">
        <v>1092</v>
      </c>
      <c r="B71" t="s">
        <v>1099</v>
      </c>
      <c r="C71" s="5">
        <v>46119.643391203703</v>
      </c>
      <c r="D71" s="5">
        <v>46121.423981481479</v>
      </c>
      <c r="E71">
        <v>202491</v>
      </c>
      <c r="F71" t="s">
        <v>1100</v>
      </c>
      <c r="G71" t="s">
        <v>1018</v>
      </c>
      <c r="H71">
        <v>80.63</v>
      </c>
      <c r="I71">
        <v>24.37</v>
      </c>
      <c r="J71">
        <v>3.308576</v>
      </c>
      <c r="K71">
        <v>944770.68</v>
      </c>
      <c r="L71">
        <v>944857.51</v>
      </c>
      <c r="M71">
        <v>1.61</v>
      </c>
      <c r="N71">
        <v>0.7</v>
      </c>
      <c r="O71">
        <v>0.91</v>
      </c>
      <c r="P71">
        <v>0.28999999999999998</v>
      </c>
      <c r="Q71">
        <v>0</v>
      </c>
      <c r="R71" s="18">
        <f t="shared" si="5"/>
        <v>86.82999999995809</v>
      </c>
      <c r="S71" s="19">
        <f t="shared" si="6"/>
        <v>3.3085761181780873</v>
      </c>
      <c r="T71" t="str">
        <f t="shared" si="7"/>
        <v>ELIESER CHAGAS DE SOUZA - 10855</v>
      </c>
    </row>
    <row r="72" spans="1:20" x14ac:dyDescent="0.3">
      <c r="A72" t="s">
        <v>1092</v>
      </c>
      <c r="B72" t="s">
        <v>1101</v>
      </c>
      <c r="C72" s="5">
        <v>46113.316990740743</v>
      </c>
      <c r="D72" s="5">
        <v>46125.345648148148</v>
      </c>
      <c r="E72">
        <v>213502</v>
      </c>
      <c r="F72" t="s">
        <v>1102</v>
      </c>
      <c r="G72" t="s">
        <v>1103</v>
      </c>
      <c r="H72">
        <v>1636.59</v>
      </c>
      <c r="I72">
        <v>0</v>
      </c>
      <c r="J72" t="s">
        <v>1029</v>
      </c>
      <c r="K72">
        <v>394703.03</v>
      </c>
      <c r="L72">
        <v>396339.51</v>
      </c>
      <c r="M72">
        <v>7.64</v>
      </c>
      <c r="N72">
        <v>0</v>
      </c>
      <c r="O72">
        <v>0</v>
      </c>
      <c r="P72">
        <v>0</v>
      </c>
      <c r="Q72">
        <v>0</v>
      </c>
      <c r="R72" s="18">
        <f t="shared" si="5"/>
        <v>1636.4799999999814</v>
      </c>
      <c r="S72" s="19" t="e">
        <f t="shared" si="6"/>
        <v>#DIV/0!</v>
      </c>
      <c r="T72" t="str">
        <f t="shared" si="7"/>
        <v>ADAILSON SANTOS DOMINGOS - 966</v>
      </c>
    </row>
    <row r="73" spans="1:20" x14ac:dyDescent="0.3">
      <c r="A73" t="s">
        <v>1092</v>
      </c>
      <c r="B73" t="s">
        <v>1104</v>
      </c>
      <c r="C73" s="5">
        <v>46113.305902777778</v>
      </c>
      <c r="D73" s="5">
        <v>46122.706712962965</v>
      </c>
      <c r="E73">
        <v>203117</v>
      </c>
      <c r="F73" t="s">
        <v>1105</v>
      </c>
      <c r="G73" t="s">
        <v>1106</v>
      </c>
      <c r="H73">
        <v>1694.84</v>
      </c>
      <c r="I73">
        <v>574.4</v>
      </c>
      <c r="J73">
        <v>2.9506269999999999</v>
      </c>
      <c r="K73">
        <v>194947.29</v>
      </c>
      <c r="L73">
        <v>196647.38</v>
      </c>
      <c r="M73">
        <v>1.64</v>
      </c>
      <c r="N73">
        <v>14.95</v>
      </c>
      <c r="O73">
        <v>4.5599999999999996</v>
      </c>
      <c r="P73">
        <v>0.08</v>
      </c>
      <c r="Q73">
        <v>0</v>
      </c>
      <c r="R73" s="18">
        <f t="shared" si="5"/>
        <v>1700.0899999999965</v>
      </c>
      <c r="S73" s="19">
        <f t="shared" si="6"/>
        <v>2.950626740947075</v>
      </c>
      <c r="T73" t="str">
        <f t="shared" si="7"/>
        <v>ADEMIR FERREIRA DA SILVA - 264</v>
      </c>
    </row>
    <row r="74" spans="1:20" x14ac:dyDescent="0.3">
      <c r="A74" t="s">
        <v>1092</v>
      </c>
      <c r="B74" t="s">
        <v>1107</v>
      </c>
      <c r="C74" s="5">
        <v>46113.286574074074</v>
      </c>
      <c r="D74" s="5">
        <v>46125.337824074071</v>
      </c>
      <c r="E74">
        <v>204787</v>
      </c>
      <c r="F74" t="s">
        <v>1108</v>
      </c>
      <c r="G74" t="s">
        <v>1015</v>
      </c>
      <c r="H74">
        <v>2446.67</v>
      </c>
      <c r="I74">
        <v>1294.03</v>
      </c>
      <c r="J74">
        <v>1.8907369999999999</v>
      </c>
      <c r="K74">
        <v>227747.75</v>
      </c>
      <c r="L74">
        <v>230194.23</v>
      </c>
      <c r="M74">
        <v>5.69</v>
      </c>
      <c r="N74">
        <v>27.27</v>
      </c>
      <c r="O74">
        <v>4.18</v>
      </c>
      <c r="P74">
        <v>5.84</v>
      </c>
      <c r="Q74">
        <v>0</v>
      </c>
      <c r="R74" s="18">
        <f t="shared" si="5"/>
        <v>2446.4800000000105</v>
      </c>
      <c r="S74" s="19">
        <f t="shared" si="6"/>
        <v>1.89073669080315</v>
      </c>
      <c r="T74" t="str">
        <f t="shared" si="7"/>
        <v>ADILSON ROBERTO DA SILVA - 50082</v>
      </c>
    </row>
    <row r="75" spans="1:20" x14ac:dyDescent="0.3">
      <c r="A75" t="s">
        <v>1092</v>
      </c>
      <c r="B75" t="s">
        <v>1109</v>
      </c>
      <c r="C75" s="5">
        <v>46113.036249999997</v>
      </c>
      <c r="D75" s="5">
        <v>46125.354224537034</v>
      </c>
      <c r="E75">
        <v>207963</v>
      </c>
      <c r="F75" t="s">
        <v>73</v>
      </c>
      <c r="G75" t="s">
        <v>1015</v>
      </c>
      <c r="H75">
        <v>1887.79</v>
      </c>
      <c r="I75">
        <v>1511.78</v>
      </c>
      <c r="J75">
        <v>1.2487200000000001</v>
      </c>
      <c r="K75">
        <v>239412.17</v>
      </c>
      <c r="L75">
        <v>242274.91</v>
      </c>
      <c r="M75">
        <v>15.82</v>
      </c>
      <c r="N75">
        <v>27.93</v>
      </c>
      <c r="O75">
        <v>4.22</v>
      </c>
      <c r="P75">
        <v>5.63</v>
      </c>
      <c r="Q75">
        <v>0</v>
      </c>
      <c r="R75" s="18">
        <f t="shared" si="5"/>
        <v>2862.7399999999907</v>
      </c>
      <c r="S75" s="19">
        <f t="shared" si="6"/>
        <v>1.2487200518593975</v>
      </c>
      <c r="T75" t="str">
        <f t="shared" si="7"/>
        <v>ALAOR BATISTA DE FREITAS - 193</v>
      </c>
    </row>
    <row r="76" spans="1:20" x14ac:dyDescent="0.3">
      <c r="A76" t="s">
        <v>1092</v>
      </c>
      <c r="B76" t="s">
        <v>1110</v>
      </c>
      <c r="C76" s="5">
        <v>46113.249803240738</v>
      </c>
      <c r="D76" s="5">
        <v>46125.274976851855</v>
      </c>
      <c r="E76">
        <v>205469</v>
      </c>
      <c r="F76" t="s">
        <v>1111</v>
      </c>
      <c r="G76" t="s">
        <v>1007</v>
      </c>
      <c r="H76">
        <v>3287.6</v>
      </c>
      <c r="I76">
        <v>1664.4</v>
      </c>
      <c r="J76">
        <v>1.9752460000000001</v>
      </c>
      <c r="K76">
        <v>147719.10999999999</v>
      </c>
      <c r="L76">
        <v>151008.34</v>
      </c>
      <c r="M76">
        <v>3.77</v>
      </c>
      <c r="N76">
        <v>35.14</v>
      </c>
      <c r="O76">
        <v>1.01</v>
      </c>
      <c r="P76">
        <v>1.87</v>
      </c>
      <c r="Q76">
        <v>0</v>
      </c>
      <c r="R76" s="18">
        <f t="shared" si="5"/>
        <v>3289.2300000000105</v>
      </c>
      <c r="S76" s="19">
        <f t="shared" si="6"/>
        <v>1.9752463350156211</v>
      </c>
      <c r="T76" t="str">
        <f t="shared" si="7"/>
        <v>ALDORI FRANCISCO RIBEIRO DOS SANTOS JUNIOR - 10575</v>
      </c>
    </row>
    <row r="77" spans="1:20" x14ac:dyDescent="0.3">
      <c r="A77" t="s">
        <v>1092</v>
      </c>
      <c r="B77" t="s">
        <v>1112</v>
      </c>
      <c r="C77" s="5">
        <v>46113.248240740744</v>
      </c>
      <c r="D77" s="5">
        <v>46125.337627314817</v>
      </c>
      <c r="E77">
        <v>207771</v>
      </c>
      <c r="F77" t="s">
        <v>1113</v>
      </c>
      <c r="G77" t="s">
        <v>1032</v>
      </c>
      <c r="H77">
        <v>3580.91</v>
      </c>
      <c r="I77">
        <v>0</v>
      </c>
      <c r="J77" t="s">
        <v>1029</v>
      </c>
      <c r="K77">
        <v>223101.42</v>
      </c>
      <c r="L77">
        <v>226682.11</v>
      </c>
      <c r="M77">
        <v>4.0999999999999996</v>
      </c>
      <c r="N77">
        <v>33.78</v>
      </c>
      <c r="O77">
        <v>5.35</v>
      </c>
      <c r="P77">
        <v>2.36</v>
      </c>
      <c r="Q77">
        <v>0</v>
      </c>
      <c r="R77" s="18">
        <f t="shared" si="5"/>
        <v>3580.6899999999732</v>
      </c>
      <c r="S77" s="19" t="e">
        <f t="shared" si="6"/>
        <v>#DIV/0!</v>
      </c>
      <c r="T77" t="str">
        <f t="shared" si="7"/>
        <v>ANDRE KOSINSKI - 10539</v>
      </c>
    </row>
    <row r="78" spans="1:20" x14ac:dyDescent="0.3">
      <c r="A78" t="s">
        <v>1092</v>
      </c>
      <c r="B78" t="s">
        <v>1114</v>
      </c>
      <c r="C78" s="5">
        <v>46113.140601851854</v>
      </c>
      <c r="D78" s="5">
        <v>46123.775567129633</v>
      </c>
      <c r="E78">
        <v>213490</v>
      </c>
      <c r="F78" t="s">
        <v>1115</v>
      </c>
      <c r="G78" t="s">
        <v>1116</v>
      </c>
      <c r="H78">
        <v>913.31</v>
      </c>
      <c r="I78">
        <v>0</v>
      </c>
      <c r="J78" t="s">
        <v>1029</v>
      </c>
      <c r="K78">
        <v>500118.01</v>
      </c>
      <c r="L78">
        <v>501031.44</v>
      </c>
      <c r="M78">
        <v>2.68</v>
      </c>
      <c r="N78">
        <v>0</v>
      </c>
      <c r="O78">
        <v>0</v>
      </c>
      <c r="P78">
        <v>0</v>
      </c>
      <c r="Q78">
        <v>0</v>
      </c>
      <c r="R78" s="18">
        <f t="shared" si="5"/>
        <v>913.42999999999302</v>
      </c>
      <c r="S78" s="19" t="e">
        <f t="shared" si="6"/>
        <v>#DIV/0!</v>
      </c>
      <c r="T78" t="str">
        <f t="shared" si="7"/>
        <v>CELIO DIAS DUARTE - 667</v>
      </c>
    </row>
    <row r="79" spans="1:20" x14ac:dyDescent="0.3">
      <c r="A79" t="s">
        <v>1092</v>
      </c>
      <c r="B79" t="s">
        <v>1117</v>
      </c>
      <c r="C79" s="5">
        <v>46113.261921296296</v>
      </c>
      <c r="D79" s="5">
        <v>46123.760648148149</v>
      </c>
      <c r="E79">
        <v>205344</v>
      </c>
      <c r="F79" t="s">
        <v>1118</v>
      </c>
      <c r="G79" t="s">
        <v>1012</v>
      </c>
      <c r="H79">
        <v>3880.72</v>
      </c>
      <c r="I79">
        <v>2019.91</v>
      </c>
      <c r="J79">
        <v>1.9212340000000001</v>
      </c>
      <c r="K79">
        <v>236801.42</v>
      </c>
      <c r="L79">
        <v>240681.79</v>
      </c>
      <c r="M79">
        <v>5.66</v>
      </c>
      <c r="N79">
        <v>38.49</v>
      </c>
      <c r="O79">
        <v>3.81</v>
      </c>
      <c r="P79">
        <v>6.99</v>
      </c>
      <c r="Q79">
        <v>0</v>
      </c>
      <c r="R79" s="18">
        <f t="shared" si="5"/>
        <v>3880.3699999999953</v>
      </c>
      <c r="S79" s="19">
        <f t="shared" si="6"/>
        <v>1.921234114391235</v>
      </c>
      <c r="T79" t="str">
        <f t="shared" si="7"/>
        <v>CLAUDINOR CAMPARIM - 10796</v>
      </c>
    </row>
    <row r="80" spans="1:20" x14ac:dyDescent="0.3">
      <c r="A80" t="s">
        <v>1092</v>
      </c>
      <c r="B80" t="s">
        <v>1119</v>
      </c>
      <c r="C80" s="5">
        <v>46113.296400462961</v>
      </c>
      <c r="D80" s="5">
        <v>46125.317615740743</v>
      </c>
      <c r="E80">
        <v>203115</v>
      </c>
      <c r="F80" t="s">
        <v>1120</v>
      </c>
      <c r="G80" t="s">
        <v>1015</v>
      </c>
      <c r="H80">
        <v>1031.47</v>
      </c>
      <c r="I80">
        <v>591.91999999999996</v>
      </c>
      <c r="J80">
        <v>1.742583</v>
      </c>
      <c r="K80">
        <v>225435.3</v>
      </c>
      <c r="L80">
        <v>226466.67</v>
      </c>
      <c r="M80">
        <v>3.18</v>
      </c>
      <c r="N80">
        <v>9.0500000000000007</v>
      </c>
      <c r="O80">
        <v>0.7</v>
      </c>
      <c r="P80">
        <v>3.21</v>
      </c>
      <c r="Q80">
        <v>0</v>
      </c>
      <c r="R80" s="18">
        <f t="shared" si="5"/>
        <v>1031.3700000000244</v>
      </c>
      <c r="S80" s="19">
        <f t="shared" si="6"/>
        <v>1.7425834572239494</v>
      </c>
      <c r="T80" t="str">
        <f t="shared" si="7"/>
        <v>CLEBERSON VAZ DE CARVALHAES - 10751</v>
      </c>
    </row>
    <row r="81" spans="1:20" x14ac:dyDescent="0.3">
      <c r="A81" t="s">
        <v>1092</v>
      </c>
      <c r="B81" t="s">
        <v>1023</v>
      </c>
      <c r="C81" s="5">
        <v>46118.505358796298</v>
      </c>
      <c r="D81" s="5">
        <v>46123.654513888891</v>
      </c>
      <c r="E81">
        <v>209429</v>
      </c>
      <c r="F81" t="s">
        <v>1121</v>
      </c>
      <c r="G81" t="s">
        <v>1018</v>
      </c>
      <c r="H81">
        <v>748.46</v>
      </c>
      <c r="I81">
        <v>421.73</v>
      </c>
      <c r="J81">
        <v>1.774737</v>
      </c>
      <c r="K81">
        <v>691646.06</v>
      </c>
      <c r="L81">
        <v>692394.35</v>
      </c>
      <c r="M81">
        <v>2.42</v>
      </c>
      <c r="N81">
        <v>3.48</v>
      </c>
      <c r="O81">
        <v>3.3</v>
      </c>
      <c r="P81">
        <v>4.8600000000000003</v>
      </c>
      <c r="Q81">
        <v>0</v>
      </c>
      <c r="R81" s="18">
        <f t="shared" si="5"/>
        <v>748.28999999992084</v>
      </c>
      <c r="S81" s="19">
        <f t="shared" si="6"/>
        <v>1.7747373912218718</v>
      </c>
      <c r="T81" t="str">
        <f t="shared" si="7"/>
        <v>CLODOALDO SANTIAGO - 10247</v>
      </c>
    </row>
    <row r="82" spans="1:20" x14ac:dyDescent="0.3">
      <c r="A82" t="s">
        <v>1092</v>
      </c>
      <c r="B82" t="s">
        <v>1122</v>
      </c>
      <c r="C82" s="5">
        <v>46113.354988425926</v>
      </c>
      <c r="D82" s="5">
        <v>46125.341874999998</v>
      </c>
      <c r="E82">
        <v>200252</v>
      </c>
      <c r="F82" t="s">
        <v>1123</v>
      </c>
      <c r="G82" t="s">
        <v>1018</v>
      </c>
      <c r="H82">
        <v>1983.08</v>
      </c>
      <c r="I82">
        <v>890.48</v>
      </c>
      <c r="J82">
        <v>2.226979</v>
      </c>
      <c r="K82">
        <v>690758.17</v>
      </c>
      <c r="L82">
        <v>692740.99</v>
      </c>
      <c r="M82">
        <v>5.84</v>
      </c>
      <c r="N82">
        <v>15.71</v>
      </c>
      <c r="O82">
        <v>7.16</v>
      </c>
      <c r="P82">
        <v>2.73</v>
      </c>
      <c r="Q82">
        <v>0</v>
      </c>
      <c r="R82" s="18">
        <f t="shared" si="5"/>
        <v>1982.8199999999488</v>
      </c>
      <c r="S82" s="19">
        <f t="shared" si="6"/>
        <v>2.2269787081124783</v>
      </c>
      <c r="T82" t="str">
        <f t="shared" si="7"/>
        <v>DANIEL SALOMAO RODRIGUES - 219</v>
      </c>
    </row>
    <row r="83" spans="1:20" x14ac:dyDescent="0.3">
      <c r="A83" t="s">
        <v>1092</v>
      </c>
      <c r="B83" t="s">
        <v>1124</v>
      </c>
      <c r="C83" s="5">
        <v>46114.670057870368</v>
      </c>
      <c r="D83" s="5">
        <v>46114.733414351853</v>
      </c>
      <c r="E83">
        <v>213491</v>
      </c>
      <c r="F83" t="s">
        <v>1125</v>
      </c>
      <c r="G83" t="s">
        <v>1098</v>
      </c>
      <c r="H83">
        <v>38.97</v>
      </c>
      <c r="I83">
        <v>11.95</v>
      </c>
      <c r="J83">
        <v>3.261088</v>
      </c>
      <c r="K83">
        <v>346015.23</v>
      </c>
      <c r="L83">
        <v>346054.19</v>
      </c>
      <c r="M83">
        <v>0.27</v>
      </c>
      <c r="N83">
        <v>0.38</v>
      </c>
      <c r="O83">
        <v>7.0000000000000007E-2</v>
      </c>
      <c r="P83">
        <v>0.18</v>
      </c>
      <c r="Q83">
        <v>0</v>
      </c>
      <c r="R83" s="18">
        <f t="shared" si="5"/>
        <v>38.960000000020955</v>
      </c>
      <c r="S83" s="19">
        <f t="shared" si="6"/>
        <v>3.2610878661087868</v>
      </c>
      <c r="T83" t="str">
        <f t="shared" si="7"/>
        <v>DANILO DOS SANTOS MARTINS - 10771</v>
      </c>
    </row>
    <row r="84" spans="1:20" x14ac:dyDescent="0.3">
      <c r="A84" t="s">
        <v>1092</v>
      </c>
      <c r="B84" t="s">
        <v>1126</v>
      </c>
      <c r="C84" s="5">
        <v>46114.564756944441</v>
      </c>
      <c r="D84" s="5">
        <v>46125.326956018522</v>
      </c>
      <c r="E84">
        <v>206378</v>
      </c>
      <c r="F84" t="s">
        <v>1127</v>
      </c>
      <c r="G84" t="s">
        <v>1098</v>
      </c>
      <c r="H84">
        <v>1460.09</v>
      </c>
      <c r="I84">
        <v>525.73</v>
      </c>
      <c r="J84">
        <v>2.7772619999999999</v>
      </c>
      <c r="K84">
        <v>446066.13</v>
      </c>
      <c r="L84">
        <v>447526.03</v>
      </c>
      <c r="M84">
        <v>2.85</v>
      </c>
      <c r="N84">
        <v>9.59</v>
      </c>
      <c r="O84">
        <v>1.9</v>
      </c>
      <c r="P84">
        <v>7.71</v>
      </c>
      <c r="Q84">
        <v>0</v>
      </c>
      <c r="R84" s="18">
        <f t="shared" si="5"/>
        <v>1459.9000000000233</v>
      </c>
      <c r="S84" s="19">
        <f t="shared" si="6"/>
        <v>2.7772620927091851</v>
      </c>
      <c r="T84" t="str">
        <f t="shared" si="7"/>
        <v>DIEGO DOS SANTOS - 10716</v>
      </c>
    </row>
    <row r="85" spans="1:20" x14ac:dyDescent="0.3">
      <c r="A85" t="s">
        <v>1092</v>
      </c>
      <c r="B85" t="s">
        <v>1033</v>
      </c>
      <c r="C85" s="5">
        <v>46113.328599537039</v>
      </c>
      <c r="D85" s="5">
        <v>46114.647870370369</v>
      </c>
      <c r="E85">
        <v>202082</v>
      </c>
      <c r="F85" t="s">
        <v>1128</v>
      </c>
      <c r="G85" t="s">
        <v>1018</v>
      </c>
      <c r="H85">
        <v>37.1</v>
      </c>
      <c r="I85">
        <v>13.21</v>
      </c>
      <c r="J85">
        <v>2.808478</v>
      </c>
      <c r="K85">
        <v>789896.19</v>
      </c>
      <c r="L85">
        <v>789933.27</v>
      </c>
      <c r="M85">
        <v>0.53</v>
      </c>
      <c r="N85">
        <v>0.22</v>
      </c>
      <c r="O85">
        <v>0.56999999999999995</v>
      </c>
      <c r="P85">
        <v>0.04</v>
      </c>
      <c r="Q85">
        <v>0</v>
      </c>
      <c r="R85" s="18">
        <f t="shared" si="5"/>
        <v>37.080000000074506</v>
      </c>
      <c r="S85" s="19">
        <f t="shared" si="6"/>
        <v>2.8084784254352764</v>
      </c>
      <c r="T85" t="str">
        <f t="shared" si="7"/>
        <v>ELENILDO GOMES DA SILVA - 10843</v>
      </c>
    </row>
    <row r="86" spans="1:20" x14ac:dyDescent="0.3">
      <c r="A86" t="s">
        <v>1092</v>
      </c>
      <c r="B86" t="s">
        <v>1129</v>
      </c>
      <c r="C86" s="5">
        <v>46113.413981481484</v>
      </c>
      <c r="D86" s="5">
        <v>46125.354085648149</v>
      </c>
      <c r="E86">
        <v>201097</v>
      </c>
      <c r="F86" t="s">
        <v>1130</v>
      </c>
      <c r="G86" t="s">
        <v>1015</v>
      </c>
      <c r="H86">
        <v>3400.23</v>
      </c>
      <c r="I86">
        <v>2371.88</v>
      </c>
      <c r="J86">
        <v>1.433559</v>
      </c>
      <c r="K86">
        <v>121128.6</v>
      </c>
      <c r="L86">
        <v>124528.62</v>
      </c>
      <c r="M86">
        <v>4.08</v>
      </c>
      <c r="N86">
        <v>8.9600000000000009</v>
      </c>
      <c r="O86">
        <v>1.21</v>
      </c>
      <c r="P86">
        <v>33.08</v>
      </c>
      <c r="Q86">
        <v>0</v>
      </c>
      <c r="R86" s="18">
        <f t="shared" si="5"/>
        <v>3400.0199999999895</v>
      </c>
      <c r="S86" s="19">
        <f t="shared" si="6"/>
        <v>1.4335590333406412</v>
      </c>
      <c r="T86" t="str">
        <f t="shared" si="7"/>
        <v>ERIC RENE PIOVAM - 10732</v>
      </c>
    </row>
    <row r="87" spans="1:20" x14ac:dyDescent="0.3">
      <c r="A87" t="s">
        <v>1092</v>
      </c>
      <c r="B87" t="s">
        <v>1131</v>
      </c>
      <c r="C87" s="5">
        <v>46113.243576388886</v>
      </c>
      <c r="D87" s="5">
        <v>46122.718784722223</v>
      </c>
      <c r="E87">
        <v>199457</v>
      </c>
      <c r="F87" t="s">
        <v>1132</v>
      </c>
      <c r="G87" t="s">
        <v>1095</v>
      </c>
      <c r="H87">
        <v>1000.06</v>
      </c>
      <c r="I87">
        <v>522.09</v>
      </c>
      <c r="J87">
        <v>1.9154929999999999</v>
      </c>
      <c r="K87">
        <v>488294.71</v>
      </c>
      <c r="L87">
        <v>489294.66</v>
      </c>
      <c r="M87">
        <v>5.82</v>
      </c>
      <c r="N87">
        <v>8.2100000000000009</v>
      </c>
      <c r="O87">
        <v>0.95</v>
      </c>
      <c r="P87">
        <v>4.04</v>
      </c>
      <c r="Q87">
        <v>0</v>
      </c>
      <c r="R87" s="18">
        <f t="shared" si="5"/>
        <v>999.94999999995343</v>
      </c>
      <c r="S87" s="19">
        <f t="shared" si="6"/>
        <v>1.9154934972897391</v>
      </c>
      <c r="T87" t="str">
        <f t="shared" si="7"/>
        <v>EVERALDO DE BONA - 1029</v>
      </c>
    </row>
    <row r="88" spans="1:20" x14ac:dyDescent="0.3">
      <c r="A88" t="s">
        <v>1092</v>
      </c>
      <c r="B88" t="s">
        <v>1133</v>
      </c>
      <c r="C88" s="5">
        <v>46113.396550925929</v>
      </c>
      <c r="D88" s="5">
        <v>46122.902488425927</v>
      </c>
      <c r="E88">
        <v>208794</v>
      </c>
      <c r="F88" t="s">
        <v>1134</v>
      </c>
      <c r="G88" t="s">
        <v>1095</v>
      </c>
      <c r="H88">
        <v>2077.67</v>
      </c>
      <c r="I88">
        <v>1139.75</v>
      </c>
      <c r="J88">
        <v>1.8229169999999999</v>
      </c>
      <c r="K88">
        <v>483064.04</v>
      </c>
      <c r="L88">
        <v>485141.61</v>
      </c>
      <c r="M88">
        <v>4.83</v>
      </c>
      <c r="N88">
        <v>13.5</v>
      </c>
      <c r="O88">
        <v>13.5</v>
      </c>
      <c r="P88">
        <v>12.32</v>
      </c>
      <c r="Q88">
        <v>1.53</v>
      </c>
      <c r="R88" s="18">
        <f t="shared" si="5"/>
        <v>2077.570000000007</v>
      </c>
      <c r="S88" s="19">
        <f t="shared" si="6"/>
        <v>1.822917306426848</v>
      </c>
      <c r="T88" t="str">
        <f t="shared" si="7"/>
        <v>FABIANO COTY ALMEIDA - 1033</v>
      </c>
    </row>
    <row r="89" spans="1:20" x14ac:dyDescent="0.3">
      <c r="A89" t="s">
        <v>1092</v>
      </c>
      <c r="B89" t="s">
        <v>1135</v>
      </c>
      <c r="C89" s="5">
        <v>46113.271793981483</v>
      </c>
      <c r="D89" s="5">
        <v>46125.348553240743</v>
      </c>
      <c r="E89">
        <v>216047</v>
      </c>
      <c r="F89" t="s">
        <v>1136</v>
      </c>
      <c r="G89">
        <v>4500</v>
      </c>
      <c r="H89">
        <v>3105.9</v>
      </c>
      <c r="I89">
        <v>1255.3800000000001</v>
      </c>
      <c r="J89">
        <v>2.474072</v>
      </c>
      <c r="K89">
        <v>607303.78</v>
      </c>
      <c r="L89">
        <v>610409.46</v>
      </c>
      <c r="M89">
        <v>7.02</v>
      </c>
      <c r="N89">
        <v>32.31</v>
      </c>
      <c r="O89">
        <v>3.54</v>
      </c>
      <c r="P89">
        <v>7.68</v>
      </c>
      <c r="Q89">
        <v>0</v>
      </c>
      <c r="R89" s="18">
        <f t="shared" si="5"/>
        <v>3105.6799999999348</v>
      </c>
      <c r="S89" s="19">
        <f t="shared" si="6"/>
        <v>2.4740715958514552</v>
      </c>
      <c r="T89" t="str">
        <f t="shared" si="7"/>
        <v>FELIPE ROSA MOLLERKE - 7031</v>
      </c>
    </row>
    <row r="90" spans="1:20" x14ac:dyDescent="0.3">
      <c r="A90" t="s">
        <v>1092</v>
      </c>
      <c r="B90" t="s">
        <v>1137</v>
      </c>
      <c r="C90" s="5">
        <v>46120.377002314817</v>
      </c>
      <c r="D90" s="5">
        <v>46122.790370370371</v>
      </c>
      <c r="E90">
        <v>203220</v>
      </c>
      <c r="F90" t="s">
        <v>1138</v>
      </c>
      <c r="G90" t="s">
        <v>1139</v>
      </c>
      <c r="H90">
        <v>129.88</v>
      </c>
      <c r="I90">
        <v>50.84</v>
      </c>
      <c r="J90">
        <v>2.554681</v>
      </c>
      <c r="K90">
        <v>914223.3</v>
      </c>
      <c r="L90">
        <v>914353.15</v>
      </c>
      <c r="M90">
        <v>2.15</v>
      </c>
      <c r="N90">
        <v>0.79</v>
      </c>
      <c r="O90">
        <v>1.31</v>
      </c>
      <c r="P90">
        <v>0.28999999999999998</v>
      </c>
      <c r="Q90">
        <v>0</v>
      </c>
      <c r="R90" s="18">
        <f t="shared" si="5"/>
        <v>129.84999999997672</v>
      </c>
      <c r="S90" s="19">
        <f t="shared" si="6"/>
        <v>2.5546813532651451</v>
      </c>
      <c r="T90" t="str">
        <f t="shared" si="7"/>
        <v>FELIX MOSSON - 10772</v>
      </c>
    </row>
    <row r="91" spans="1:20" x14ac:dyDescent="0.3">
      <c r="A91" t="s">
        <v>1092</v>
      </c>
      <c r="B91" t="s">
        <v>1137</v>
      </c>
      <c r="C91" s="5">
        <v>46113.360092592593</v>
      </c>
      <c r="D91" s="5">
        <v>46125.261064814818</v>
      </c>
      <c r="E91">
        <v>204878</v>
      </c>
      <c r="F91" t="s">
        <v>1140</v>
      </c>
      <c r="G91" t="s">
        <v>1141</v>
      </c>
      <c r="H91">
        <v>3904.17</v>
      </c>
      <c r="I91">
        <v>1519.91</v>
      </c>
      <c r="J91">
        <v>2.5686849999999999</v>
      </c>
      <c r="K91">
        <v>267039.43</v>
      </c>
      <c r="L91">
        <v>270943.39</v>
      </c>
      <c r="M91">
        <v>3.39</v>
      </c>
      <c r="N91">
        <v>33.479999999999997</v>
      </c>
      <c r="O91">
        <v>2.67</v>
      </c>
      <c r="P91">
        <v>3.66</v>
      </c>
      <c r="Q91">
        <v>0</v>
      </c>
      <c r="R91" s="18">
        <f t="shared" si="5"/>
        <v>3903.960000000021</v>
      </c>
      <c r="S91" s="19">
        <f t="shared" si="6"/>
        <v>2.5686849879269165</v>
      </c>
      <c r="T91" t="str">
        <f t="shared" si="7"/>
        <v>FELIX MOSSON - 10772</v>
      </c>
    </row>
    <row r="92" spans="1:20" x14ac:dyDescent="0.3">
      <c r="A92" t="s">
        <v>1092</v>
      </c>
      <c r="B92" t="s">
        <v>1137</v>
      </c>
      <c r="C92" s="5">
        <v>46113.212430555555</v>
      </c>
      <c r="D92" s="5">
        <v>46118.517627314817</v>
      </c>
      <c r="E92">
        <v>213480</v>
      </c>
      <c r="F92" t="s">
        <v>1142</v>
      </c>
      <c r="G92" t="s">
        <v>1103</v>
      </c>
      <c r="H92">
        <v>861.42</v>
      </c>
      <c r="I92">
        <v>0</v>
      </c>
      <c r="J92" t="s">
        <v>1029</v>
      </c>
      <c r="K92">
        <v>501967.92</v>
      </c>
      <c r="L92">
        <v>502829.27</v>
      </c>
      <c r="M92">
        <v>4.45</v>
      </c>
      <c r="N92">
        <v>0</v>
      </c>
      <c r="O92">
        <v>0</v>
      </c>
      <c r="P92">
        <v>0</v>
      </c>
      <c r="Q92">
        <v>0</v>
      </c>
      <c r="R92" s="18">
        <f t="shared" si="5"/>
        <v>861.35000000003492</v>
      </c>
      <c r="S92" s="19" t="e">
        <f t="shared" si="6"/>
        <v>#DIV/0!</v>
      </c>
      <c r="T92" t="str">
        <f t="shared" si="7"/>
        <v>FELIX MOSSON - 10772</v>
      </c>
    </row>
    <row r="93" spans="1:20" x14ac:dyDescent="0.3">
      <c r="A93" t="s">
        <v>1092</v>
      </c>
      <c r="B93" t="s">
        <v>1143</v>
      </c>
      <c r="C93" s="5">
        <v>46113.333553240744</v>
      </c>
      <c r="D93" s="5">
        <v>46122.655451388891</v>
      </c>
      <c r="E93">
        <v>206295</v>
      </c>
      <c r="F93" t="s">
        <v>1144</v>
      </c>
      <c r="G93" t="s">
        <v>1116</v>
      </c>
      <c r="H93">
        <v>560.84</v>
      </c>
      <c r="I93">
        <v>0</v>
      </c>
      <c r="J93" t="s">
        <v>1029</v>
      </c>
      <c r="K93">
        <v>266522.3</v>
      </c>
      <c r="L93">
        <v>267083.03999999998</v>
      </c>
      <c r="M93">
        <v>4.33</v>
      </c>
      <c r="N93">
        <v>0</v>
      </c>
      <c r="O93">
        <v>0</v>
      </c>
      <c r="P93">
        <v>0</v>
      </c>
      <c r="Q93">
        <v>0</v>
      </c>
      <c r="R93" s="18">
        <f t="shared" si="5"/>
        <v>560.73999999999069</v>
      </c>
      <c r="S93" s="19" t="e">
        <f t="shared" si="6"/>
        <v>#DIV/0!</v>
      </c>
      <c r="T93" t="str">
        <f t="shared" si="7"/>
        <v>FRANCISCO IVERSON MERETKA - 50081</v>
      </c>
    </row>
    <row r="94" spans="1:20" x14ac:dyDescent="0.3">
      <c r="A94" t="s">
        <v>1092</v>
      </c>
      <c r="B94" t="s">
        <v>1145</v>
      </c>
      <c r="C94" s="5">
        <v>46120.446863425925</v>
      </c>
      <c r="D94" s="5">
        <v>46120.494791666664</v>
      </c>
      <c r="E94">
        <v>201147</v>
      </c>
      <c r="F94" t="s">
        <v>1146</v>
      </c>
      <c r="G94" t="s">
        <v>1139</v>
      </c>
      <c r="H94">
        <v>11.66</v>
      </c>
      <c r="I94">
        <v>7.29</v>
      </c>
      <c r="J94">
        <v>1.599451</v>
      </c>
      <c r="K94">
        <v>1085101.96</v>
      </c>
      <c r="L94">
        <v>1085113.6200000001</v>
      </c>
      <c r="M94">
        <v>0.68</v>
      </c>
      <c r="N94">
        <v>0.1</v>
      </c>
      <c r="O94">
        <v>0.21</v>
      </c>
      <c r="P94">
        <v>0.03</v>
      </c>
      <c r="Q94">
        <v>0</v>
      </c>
      <c r="R94" s="18">
        <f t="shared" si="5"/>
        <v>11.660000000149012</v>
      </c>
      <c r="S94" s="19">
        <f t="shared" si="6"/>
        <v>1.5994513031550068</v>
      </c>
      <c r="T94" t="str">
        <f t="shared" si="7"/>
        <v>GABRIEL DELGADO CORGAS - 10846</v>
      </c>
    </row>
    <row r="95" spans="1:20" x14ac:dyDescent="0.3">
      <c r="A95" t="s">
        <v>1092</v>
      </c>
      <c r="B95" t="s">
        <v>1147</v>
      </c>
      <c r="C95" s="5">
        <v>46113.354548611111</v>
      </c>
      <c r="D95" s="5">
        <v>46123.871296296296</v>
      </c>
      <c r="E95">
        <v>208553</v>
      </c>
      <c r="F95" t="s">
        <v>1149</v>
      </c>
      <c r="G95" t="s">
        <v>1106</v>
      </c>
      <c r="H95">
        <v>774.06</v>
      </c>
      <c r="I95">
        <v>331.73</v>
      </c>
      <c r="J95">
        <v>2.3334039999999998</v>
      </c>
      <c r="K95">
        <v>129793.11</v>
      </c>
      <c r="L95">
        <v>130570.45</v>
      </c>
      <c r="M95">
        <v>3.65</v>
      </c>
      <c r="N95">
        <v>3.98</v>
      </c>
      <c r="O95">
        <v>3.98</v>
      </c>
      <c r="P95">
        <v>0.09</v>
      </c>
      <c r="Q95">
        <v>0</v>
      </c>
      <c r="R95" s="18">
        <f t="shared" si="5"/>
        <v>777.33999999999651</v>
      </c>
      <c r="S95" s="19">
        <f t="shared" si="6"/>
        <v>2.3334036716606876</v>
      </c>
      <c r="T95" t="str">
        <f t="shared" si="7"/>
        <v>HELTON CARLOS DE SOUZA MACEDO - 10777</v>
      </c>
    </row>
    <row r="96" spans="1:20" x14ac:dyDescent="0.3">
      <c r="A96" t="s">
        <v>1092</v>
      </c>
      <c r="B96" t="s">
        <v>1147</v>
      </c>
      <c r="C96" s="5">
        <v>46113.480902777781</v>
      </c>
      <c r="D96" s="5">
        <v>46113.493298611109</v>
      </c>
      <c r="E96">
        <v>202490</v>
      </c>
      <c r="F96" t="s">
        <v>1148</v>
      </c>
      <c r="G96" t="s">
        <v>1139</v>
      </c>
      <c r="H96">
        <v>0.45</v>
      </c>
      <c r="I96">
        <v>0.99</v>
      </c>
      <c r="J96">
        <v>0.45454499999999998</v>
      </c>
      <c r="K96">
        <v>709589.86</v>
      </c>
      <c r="L96">
        <v>709590.31</v>
      </c>
      <c r="M96">
        <v>0.15</v>
      </c>
      <c r="N96">
        <v>0</v>
      </c>
      <c r="O96">
        <v>0.08</v>
      </c>
      <c r="P96">
        <v>0</v>
      </c>
      <c r="Q96">
        <v>0</v>
      </c>
      <c r="R96" s="18">
        <f t="shared" si="5"/>
        <v>0.45000000006984919</v>
      </c>
      <c r="S96" s="19">
        <f t="shared" si="6"/>
        <v>0.45454545454545459</v>
      </c>
      <c r="T96" t="str">
        <f t="shared" si="7"/>
        <v>HELTON CARLOS DE SOUZA MACEDO - 10777</v>
      </c>
    </row>
    <row r="97" spans="1:20" x14ac:dyDescent="0.3">
      <c r="A97" t="s">
        <v>1092</v>
      </c>
      <c r="B97" t="s">
        <v>1150</v>
      </c>
      <c r="C97" s="5">
        <v>46113.250428240739</v>
      </c>
      <c r="D97" s="5">
        <v>46125.308217592596</v>
      </c>
      <c r="E97">
        <v>204313</v>
      </c>
      <c r="F97" t="s">
        <v>1151</v>
      </c>
      <c r="G97" t="s">
        <v>1007</v>
      </c>
      <c r="H97">
        <v>3933.85</v>
      </c>
      <c r="I97">
        <v>2069.5500000000002</v>
      </c>
      <c r="J97">
        <v>1.9008240000000001</v>
      </c>
      <c r="K97">
        <v>144400.18</v>
      </c>
      <c r="L97">
        <v>148333.87</v>
      </c>
      <c r="M97">
        <v>4.96</v>
      </c>
      <c r="N97">
        <v>35.28</v>
      </c>
      <c r="O97">
        <v>1.31</v>
      </c>
      <c r="P97">
        <v>3.77</v>
      </c>
      <c r="Q97">
        <v>0</v>
      </c>
      <c r="R97" s="18">
        <f t="shared" si="5"/>
        <v>3933.6900000000023</v>
      </c>
      <c r="S97" s="19">
        <f t="shared" si="6"/>
        <v>1.9008238505955399</v>
      </c>
      <c r="T97" t="str">
        <f t="shared" si="7"/>
        <v>HEVERTON FERREIRA VIERA - 10276</v>
      </c>
    </row>
    <row r="98" spans="1:20" x14ac:dyDescent="0.3">
      <c r="A98" t="s">
        <v>1092</v>
      </c>
      <c r="B98" t="s">
        <v>1152</v>
      </c>
      <c r="C98" s="5">
        <v>46113.297731481478</v>
      </c>
      <c r="D98" s="5">
        <v>46125.351527777777</v>
      </c>
      <c r="E98">
        <v>204249</v>
      </c>
      <c r="F98" t="s">
        <v>1153</v>
      </c>
      <c r="G98" t="s">
        <v>1007</v>
      </c>
      <c r="H98">
        <v>2558.4499999999998</v>
      </c>
      <c r="I98">
        <v>1605.48</v>
      </c>
      <c r="J98">
        <v>1.5935729999999999</v>
      </c>
      <c r="K98">
        <v>151260.69</v>
      </c>
      <c r="L98">
        <v>153818.95000000001</v>
      </c>
      <c r="M98">
        <v>7.85</v>
      </c>
      <c r="N98">
        <v>26.78</v>
      </c>
      <c r="O98">
        <v>0.93</v>
      </c>
      <c r="P98">
        <v>2.86</v>
      </c>
      <c r="Q98">
        <v>0</v>
      </c>
      <c r="R98" s="18">
        <f t="shared" ref="R98:R141" si="8">L98-K98</f>
        <v>2558.2600000000093</v>
      </c>
      <c r="S98" s="19">
        <f t="shared" ref="S98:S133" si="9">H98/I98</f>
        <v>1.5935732615790914</v>
      </c>
      <c r="T98" t="str">
        <f t="shared" si="7"/>
        <v>ISAK GONCALVES - 10723</v>
      </c>
    </row>
    <row r="99" spans="1:20" x14ac:dyDescent="0.3">
      <c r="A99" t="s">
        <v>1092</v>
      </c>
      <c r="B99" t="s">
        <v>1154</v>
      </c>
      <c r="C99" s="5">
        <v>46113.260138888887</v>
      </c>
      <c r="D99" s="5">
        <v>46125.32739583333</v>
      </c>
      <c r="E99">
        <v>208868</v>
      </c>
      <c r="F99" t="s">
        <v>1155</v>
      </c>
      <c r="G99" t="s">
        <v>1015</v>
      </c>
      <c r="H99">
        <v>2368.2800000000002</v>
      </c>
      <c r="I99">
        <v>1308.8900000000001</v>
      </c>
      <c r="J99">
        <v>1.80938</v>
      </c>
      <c r="K99">
        <v>225465.58</v>
      </c>
      <c r="L99">
        <v>227833.7</v>
      </c>
      <c r="M99">
        <v>5.38</v>
      </c>
      <c r="N99">
        <v>25.92</v>
      </c>
      <c r="O99">
        <v>2.94</v>
      </c>
      <c r="P99">
        <v>3.74</v>
      </c>
      <c r="Q99">
        <v>0</v>
      </c>
      <c r="R99" s="18">
        <f t="shared" si="8"/>
        <v>2368.1200000000244</v>
      </c>
      <c r="S99" s="19">
        <f t="shared" si="9"/>
        <v>1.809380467418958</v>
      </c>
      <c r="T99" t="str">
        <f t="shared" si="7"/>
        <v>JOEL RODYCZ - 10816</v>
      </c>
    </row>
    <row r="100" spans="1:20" x14ac:dyDescent="0.3">
      <c r="A100" t="s">
        <v>1092</v>
      </c>
      <c r="B100" t="s">
        <v>1156</v>
      </c>
      <c r="C100" s="5">
        <v>46113.341458333336</v>
      </c>
      <c r="D100" s="5">
        <v>46125.337233796294</v>
      </c>
      <c r="E100">
        <v>200727</v>
      </c>
      <c r="F100" t="s">
        <v>1157</v>
      </c>
      <c r="G100" t="s">
        <v>1106</v>
      </c>
      <c r="H100">
        <v>2250.5</v>
      </c>
      <c r="I100">
        <v>950.13</v>
      </c>
      <c r="J100">
        <v>2.3686229999999999</v>
      </c>
      <c r="K100">
        <v>216588.46</v>
      </c>
      <c r="L100">
        <v>218838.71</v>
      </c>
      <c r="M100">
        <v>2.86</v>
      </c>
      <c r="N100">
        <v>18.84</v>
      </c>
      <c r="O100">
        <v>3.7</v>
      </c>
      <c r="P100">
        <v>0.1</v>
      </c>
      <c r="Q100">
        <v>0</v>
      </c>
      <c r="R100" s="18">
        <f t="shared" si="8"/>
        <v>2250.25</v>
      </c>
      <c r="S100" s="19">
        <f t="shared" si="9"/>
        <v>2.3686232410301749</v>
      </c>
      <c r="T100" t="str">
        <f t="shared" si="7"/>
        <v>JONAS FERNANDES DE LIMA - 10780</v>
      </c>
    </row>
    <row r="101" spans="1:20" x14ac:dyDescent="0.3">
      <c r="A101" t="s">
        <v>1092</v>
      </c>
      <c r="B101" t="s">
        <v>1158</v>
      </c>
      <c r="C101" s="5">
        <v>46113.048854166664</v>
      </c>
      <c r="D101" s="5">
        <v>46125.237384259257</v>
      </c>
      <c r="E101">
        <v>216400</v>
      </c>
      <c r="F101" t="s">
        <v>1159</v>
      </c>
      <c r="G101" t="s">
        <v>1032</v>
      </c>
      <c r="H101">
        <v>1550.4</v>
      </c>
      <c r="I101">
        <v>921.58</v>
      </c>
      <c r="J101">
        <v>1.682328</v>
      </c>
      <c r="K101">
        <v>202107.99</v>
      </c>
      <c r="L101">
        <v>203693.93</v>
      </c>
      <c r="M101">
        <v>8.4700000000000006</v>
      </c>
      <c r="N101">
        <v>15.4</v>
      </c>
      <c r="O101">
        <v>1.7</v>
      </c>
      <c r="P101">
        <v>7.05</v>
      </c>
      <c r="Q101">
        <v>0</v>
      </c>
      <c r="R101" s="18">
        <f t="shared" si="8"/>
        <v>1585.9400000000023</v>
      </c>
      <c r="S101" s="19">
        <f t="shared" si="9"/>
        <v>1.6823281755246424</v>
      </c>
      <c r="T101" t="str">
        <f t="shared" si="7"/>
        <v>JONAS TADEU DA SILVA - 10774</v>
      </c>
    </row>
    <row r="102" spans="1:20" x14ac:dyDescent="0.3">
      <c r="A102" t="s">
        <v>1092</v>
      </c>
      <c r="B102" t="s">
        <v>1051</v>
      </c>
      <c r="C102" s="5">
        <v>46118.353900462964</v>
      </c>
      <c r="D102" s="5">
        <v>46122.32671296296</v>
      </c>
      <c r="E102">
        <v>208554</v>
      </c>
      <c r="F102" t="s">
        <v>1160</v>
      </c>
      <c r="G102" t="s">
        <v>1161</v>
      </c>
      <c r="H102">
        <v>0</v>
      </c>
      <c r="I102">
        <v>0</v>
      </c>
      <c r="J102" t="s">
        <v>1029</v>
      </c>
      <c r="K102">
        <v>503202.99</v>
      </c>
      <c r="L102">
        <v>503202.99</v>
      </c>
      <c r="M102">
        <v>0.09</v>
      </c>
      <c r="N102">
        <v>0</v>
      </c>
      <c r="O102">
        <v>0</v>
      </c>
      <c r="P102">
        <v>0</v>
      </c>
      <c r="Q102">
        <v>0</v>
      </c>
      <c r="R102" s="18">
        <f t="shared" si="8"/>
        <v>0</v>
      </c>
      <c r="S102" s="19" t="e">
        <f t="shared" si="9"/>
        <v>#DIV/0!</v>
      </c>
      <c r="T102" t="str">
        <f t="shared" si="7"/>
        <v>JOSE DAVI DA SILVA PINTO - 2028</v>
      </c>
    </row>
    <row r="103" spans="1:20" x14ac:dyDescent="0.3">
      <c r="A103" t="s">
        <v>1092</v>
      </c>
      <c r="B103" t="s">
        <v>1162</v>
      </c>
      <c r="C103" s="5">
        <v>46113.306076388886</v>
      </c>
      <c r="D103" s="5">
        <v>46123.472569444442</v>
      </c>
      <c r="E103">
        <v>200790</v>
      </c>
      <c r="F103" t="s">
        <v>1163</v>
      </c>
      <c r="G103" t="s">
        <v>1015</v>
      </c>
      <c r="H103">
        <v>3186.4</v>
      </c>
      <c r="I103">
        <v>1928.69</v>
      </c>
      <c r="J103">
        <v>1.6521060000000001</v>
      </c>
      <c r="K103">
        <v>136424.54999999999</v>
      </c>
      <c r="L103">
        <v>139610.66</v>
      </c>
      <c r="M103">
        <v>4.88</v>
      </c>
      <c r="N103">
        <v>35.659999999999997</v>
      </c>
      <c r="O103">
        <v>2.67</v>
      </c>
      <c r="P103">
        <v>4.78</v>
      </c>
      <c r="Q103">
        <v>0</v>
      </c>
      <c r="R103" s="18">
        <f t="shared" si="8"/>
        <v>3186.1100000000151</v>
      </c>
      <c r="S103" s="19">
        <f t="shared" si="9"/>
        <v>1.6521058334931999</v>
      </c>
      <c r="T103" t="str">
        <f t="shared" si="7"/>
        <v>JOSIANE DE FREITAS CABRAL - 10638</v>
      </c>
    </row>
    <row r="104" spans="1:20" x14ac:dyDescent="0.3">
      <c r="A104" t="s">
        <v>1092</v>
      </c>
      <c r="B104" t="s">
        <v>1164</v>
      </c>
      <c r="C104" s="5">
        <v>46113.343761574077</v>
      </c>
      <c r="D104" s="5">
        <v>46125.348749999997</v>
      </c>
      <c r="E104">
        <v>213481</v>
      </c>
      <c r="F104" t="s">
        <v>1165</v>
      </c>
      <c r="G104" t="s">
        <v>1057</v>
      </c>
      <c r="H104">
        <v>1702.35</v>
      </c>
      <c r="I104">
        <v>0</v>
      </c>
      <c r="J104" t="s">
        <v>1029</v>
      </c>
      <c r="K104">
        <v>175077.72</v>
      </c>
      <c r="L104">
        <v>176779.97</v>
      </c>
      <c r="M104">
        <v>3.24</v>
      </c>
      <c r="N104">
        <v>0</v>
      </c>
      <c r="O104">
        <v>0</v>
      </c>
      <c r="P104">
        <v>0</v>
      </c>
      <c r="Q104">
        <v>0</v>
      </c>
      <c r="R104" s="18">
        <f t="shared" si="8"/>
        <v>1702.25</v>
      </c>
      <c r="S104" s="19" t="e">
        <f t="shared" si="9"/>
        <v>#DIV/0!</v>
      </c>
      <c r="T104" t="str">
        <f t="shared" si="7"/>
        <v>JULIANO DE PAULA DA LUZ - 1020</v>
      </c>
    </row>
    <row r="105" spans="1:20" x14ac:dyDescent="0.3">
      <c r="A105" t="s">
        <v>1092</v>
      </c>
      <c r="B105" t="s">
        <v>1166</v>
      </c>
      <c r="C105" s="5">
        <v>46113.360451388886</v>
      </c>
      <c r="D105" s="5">
        <v>46125.328043981484</v>
      </c>
      <c r="E105">
        <v>213488</v>
      </c>
      <c r="F105" t="s">
        <v>1167</v>
      </c>
      <c r="G105" t="s">
        <v>1116</v>
      </c>
      <c r="H105">
        <v>2078.59</v>
      </c>
      <c r="I105">
        <v>0</v>
      </c>
      <c r="J105" t="s">
        <v>1029</v>
      </c>
      <c r="K105">
        <v>536223.37</v>
      </c>
      <c r="L105">
        <v>538301.78</v>
      </c>
      <c r="M105">
        <v>3.91</v>
      </c>
      <c r="N105">
        <v>0</v>
      </c>
      <c r="O105">
        <v>0</v>
      </c>
      <c r="P105">
        <v>0</v>
      </c>
      <c r="Q105">
        <v>0</v>
      </c>
      <c r="R105" s="18">
        <f t="shared" si="8"/>
        <v>2078.4100000000326</v>
      </c>
      <c r="S105" s="19" t="e">
        <f t="shared" si="9"/>
        <v>#DIV/0!</v>
      </c>
      <c r="T105" t="str">
        <f t="shared" si="7"/>
        <v>JULIO CEZAR MARTINS - 670</v>
      </c>
    </row>
    <row r="106" spans="1:20" x14ac:dyDescent="0.3">
      <c r="A106" t="s">
        <v>1092</v>
      </c>
      <c r="B106" t="s">
        <v>1168</v>
      </c>
      <c r="C106" s="5">
        <v>46113.250277777777</v>
      </c>
      <c r="D106" s="5">
        <v>46125.343148148146</v>
      </c>
      <c r="E106">
        <v>201935</v>
      </c>
      <c r="F106" t="s">
        <v>1169</v>
      </c>
      <c r="G106" t="s">
        <v>1015</v>
      </c>
      <c r="H106">
        <v>3314.79</v>
      </c>
      <c r="I106">
        <v>1846.01</v>
      </c>
      <c r="J106">
        <v>1.7956510000000001</v>
      </c>
      <c r="K106">
        <v>204297</v>
      </c>
      <c r="L106">
        <v>207611.61</v>
      </c>
      <c r="M106">
        <v>5.73</v>
      </c>
      <c r="N106">
        <v>38.11</v>
      </c>
      <c r="O106">
        <v>1.55</v>
      </c>
      <c r="P106">
        <v>2.35</v>
      </c>
      <c r="Q106">
        <v>0</v>
      </c>
      <c r="R106" s="18">
        <f t="shared" si="8"/>
        <v>3314.609999999986</v>
      </c>
      <c r="S106" s="19">
        <f t="shared" si="9"/>
        <v>1.7956511611529731</v>
      </c>
      <c r="T106" t="str">
        <f t="shared" si="7"/>
        <v>LEANDRO OLIVEIRA RODRIGUES - 10623</v>
      </c>
    </row>
    <row r="107" spans="1:20" x14ac:dyDescent="0.3">
      <c r="A107" t="s">
        <v>1092</v>
      </c>
      <c r="B107" t="s">
        <v>1170</v>
      </c>
      <c r="C107" s="5">
        <v>46113.265590277777</v>
      </c>
      <c r="D107" s="5">
        <v>46125.282650462963</v>
      </c>
      <c r="E107">
        <v>213487</v>
      </c>
      <c r="F107" t="s">
        <v>1171</v>
      </c>
      <c r="G107" t="s">
        <v>1103</v>
      </c>
      <c r="H107">
        <v>2807.18</v>
      </c>
      <c r="I107">
        <v>0</v>
      </c>
      <c r="J107" t="s">
        <v>1029</v>
      </c>
      <c r="K107">
        <v>451488</v>
      </c>
      <c r="L107">
        <v>454294.98</v>
      </c>
      <c r="M107">
        <v>5.61</v>
      </c>
      <c r="N107">
        <v>0</v>
      </c>
      <c r="O107">
        <v>0</v>
      </c>
      <c r="P107">
        <v>0</v>
      </c>
      <c r="Q107">
        <v>0</v>
      </c>
      <c r="R107" s="18">
        <f t="shared" si="8"/>
        <v>2806.9799999999814</v>
      </c>
      <c r="S107" s="19" t="e">
        <f t="shared" si="9"/>
        <v>#DIV/0!</v>
      </c>
      <c r="T107" t="str">
        <f t="shared" si="7"/>
        <v>LUCAS KOSINSKI - 10798</v>
      </c>
    </row>
    <row r="108" spans="1:20" x14ac:dyDescent="0.3">
      <c r="A108" t="s">
        <v>1092</v>
      </c>
      <c r="B108" t="s">
        <v>1172</v>
      </c>
      <c r="C108" s="5">
        <v>46113.236446759256</v>
      </c>
      <c r="D108" s="5">
        <v>46123.678287037037</v>
      </c>
      <c r="E108">
        <v>205563</v>
      </c>
      <c r="F108" t="s">
        <v>1173</v>
      </c>
      <c r="G108" t="s">
        <v>1106</v>
      </c>
      <c r="H108">
        <v>3772.12</v>
      </c>
      <c r="I108">
        <v>1399.22</v>
      </c>
      <c r="J108">
        <v>2.6958730000000002</v>
      </c>
      <c r="K108">
        <v>172745.62</v>
      </c>
      <c r="L108">
        <v>176517.58</v>
      </c>
      <c r="M108">
        <v>4.4400000000000004</v>
      </c>
      <c r="N108">
        <v>44.15</v>
      </c>
      <c r="O108">
        <v>2.59</v>
      </c>
      <c r="P108">
        <v>2.17</v>
      </c>
      <c r="Q108">
        <v>0</v>
      </c>
      <c r="R108" s="18">
        <f t="shared" si="8"/>
        <v>3771.9599999999919</v>
      </c>
      <c r="S108" s="19">
        <f t="shared" si="9"/>
        <v>2.695873415188462</v>
      </c>
      <c r="T108" t="str">
        <f t="shared" si="7"/>
        <v>LUCAS STEKLAIN PEDRO JUNIOR - 10823</v>
      </c>
    </row>
    <row r="109" spans="1:20" x14ac:dyDescent="0.3">
      <c r="A109" t="s">
        <v>1092</v>
      </c>
      <c r="B109" t="s">
        <v>1174</v>
      </c>
      <c r="C109" s="5">
        <v>46113.251331018517</v>
      </c>
      <c r="D109" s="5">
        <v>46125.316643518519</v>
      </c>
      <c r="E109">
        <v>202732</v>
      </c>
      <c r="F109" t="s">
        <v>1175</v>
      </c>
      <c r="G109" t="s">
        <v>1106</v>
      </c>
      <c r="H109">
        <v>1545.4</v>
      </c>
      <c r="I109">
        <v>624.6</v>
      </c>
      <c r="J109">
        <v>2.474224</v>
      </c>
      <c r="K109">
        <v>238951.42</v>
      </c>
      <c r="L109">
        <v>240496.66</v>
      </c>
      <c r="M109">
        <v>3.9</v>
      </c>
      <c r="N109">
        <v>8.52</v>
      </c>
      <c r="O109">
        <v>8.52</v>
      </c>
      <c r="P109">
        <v>0</v>
      </c>
      <c r="Q109">
        <v>0</v>
      </c>
      <c r="R109" s="18">
        <f t="shared" si="8"/>
        <v>1545.2399999999907</v>
      </c>
      <c r="S109" s="19">
        <f t="shared" si="9"/>
        <v>2.474223503041947</v>
      </c>
      <c r="T109" t="str">
        <f t="shared" si="7"/>
        <v>LUIZ CARLOS JOMEK - 10321</v>
      </c>
    </row>
    <row r="110" spans="1:20" x14ac:dyDescent="0.3">
      <c r="A110" t="s">
        <v>1092</v>
      </c>
      <c r="B110" t="s">
        <v>1063</v>
      </c>
      <c r="C110" s="5">
        <v>46120.534421296295</v>
      </c>
      <c r="D110" s="5">
        <v>46122.724502314813</v>
      </c>
      <c r="E110">
        <v>199304</v>
      </c>
      <c r="F110" t="s">
        <v>1176</v>
      </c>
      <c r="G110" t="s">
        <v>1018</v>
      </c>
      <c r="H110">
        <v>7.99</v>
      </c>
      <c r="I110">
        <v>7.47</v>
      </c>
      <c r="J110">
        <v>1.069612</v>
      </c>
      <c r="K110">
        <v>654762.53</v>
      </c>
      <c r="L110">
        <v>654770.49</v>
      </c>
      <c r="M110">
        <v>0.88</v>
      </c>
      <c r="N110">
        <v>7.0000000000000007E-2</v>
      </c>
      <c r="O110">
        <v>0.34</v>
      </c>
      <c r="P110">
        <v>0.02</v>
      </c>
      <c r="Q110">
        <v>0</v>
      </c>
      <c r="R110" s="18">
        <f t="shared" si="8"/>
        <v>7.9599999999627471</v>
      </c>
      <c r="S110" s="19">
        <f t="shared" si="9"/>
        <v>1.0696117804551539</v>
      </c>
      <c r="T110" t="str">
        <f t="shared" si="7"/>
        <v>LUIZ TOME DOS SANTOS FILHO - 10844</v>
      </c>
    </row>
    <row r="111" spans="1:20" x14ac:dyDescent="0.3">
      <c r="A111" t="s">
        <v>1092</v>
      </c>
      <c r="B111" t="s">
        <v>1177</v>
      </c>
      <c r="C111" s="5">
        <v>46113.31627314815</v>
      </c>
      <c r="D111" s="5">
        <v>46125.289837962962</v>
      </c>
      <c r="E111">
        <v>198611</v>
      </c>
      <c r="F111" t="s">
        <v>1178</v>
      </c>
      <c r="G111" t="s">
        <v>1012</v>
      </c>
      <c r="H111">
        <v>2904.76</v>
      </c>
      <c r="I111">
        <v>1720.62</v>
      </c>
      <c r="J111">
        <v>1.688205</v>
      </c>
      <c r="K111">
        <v>208333.28</v>
      </c>
      <c r="L111">
        <v>211237.92</v>
      </c>
      <c r="M111">
        <v>9.98</v>
      </c>
      <c r="N111">
        <v>29.5</v>
      </c>
      <c r="O111">
        <v>1.07</v>
      </c>
      <c r="P111">
        <v>7.21</v>
      </c>
      <c r="Q111">
        <v>0</v>
      </c>
      <c r="R111" s="18">
        <f t="shared" si="8"/>
        <v>2904.640000000014</v>
      </c>
      <c r="S111" s="19">
        <f t="shared" si="9"/>
        <v>1.6882054143273939</v>
      </c>
      <c r="T111" t="str">
        <f t="shared" si="7"/>
        <v>MARCELO ALVES RIBEIRO - 10721</v>
      </c>
    </row>
    <row r="112" spans="1:20" x14ac:dyDescent="0.3">
      <c r="A112" t="s">
        <v>1092</v>
      </c>
      <c r="B112" t="s">
        <v>1179</v>
      </c>
      <c r="C112" s="5">
        <v>46113.405682870369</v>
      </c>
      <c r="D112" s="5">
        <v>46123.62295138889</v>
      </c>
      <c r="E112">
        <v>202592</v>
      </c>
      <c r="F112" t="s">
        <v>29</v>
      </c>
      <c r="G112" t="s">
        <v>1180</v>
      </c>
      <c r="H112">
        <v>5156.68</v>
      </c>
      <c r="I112">
        <v>2794.23</v>
      </c>
      <c r="J112">
        <v>1.8454740000000001</v>
      </c>
      <c r="K112">
        <v>564626.17000000004</v>
      </c>
      <c r="L112">
        <v>569782.68000000005</v>
      </c>
      <c r="M112">
        <v>3.47</v>
      </c>
      <c r="N112">
        <v>60.2</v>
      </c>
      <c r="O112">
        <v>2.09</v>
      </c>
      <c r="P112">
        <v>10.95</v>
      </c>
      <c r="Q112">
        <v>0</v>
      </c>
      <c r="R112" s="18">
        <f t="shared" si="8"/>
        <v>5156.5100000000093</v>
      </c>
      <c r="S112" s="19">
        <f t="shared" si="9"/>
        <v>1.8454744240810528</v>
      </c>
      <c r="T112" t="str">
        <f t="shared" si="7"/>
        <v>MARCELO DE JESUS ARAUJO - 118</v>
      </c>
    </row>
    <row r="113" spans="1:20" x14ac:dyDescent="0.3">
      <c r="A113" t="s">
        <v>1092</v>
      </c>
      <c r="B113" t="s">
        <v>1181</v>
      </c>
      <c r="C113" s="5">
        <v>46113.284236111111</v>
      </c>
      <c r="D113" s="5">
        <v>46125.339814814812</v>
      </c>
      <c r="E113">
        <v>203662</v>
      </c>
      <c r="F113" t="s">
        <v>1182</v>
      </c>
      <c r="G113" t="s">
        <v>1183</v>
      </c>
      <c r="H113">
        <v>3103.98</v>
      </c>
      <c r="I113">
        <v>1679.81</v>
      </c>
      <c r="J113">
        <v>1.8478159999999999</v>
      </c>
      <c r="K113">
        <v>150938.9</v>
      </c>
      <c r="L113">
        <v>154042.70000000001</v>
      </c>
      <c r="M113">
        <v>8.4700000000000006</v>
      </c>
      <c r="N113">
        <v>32.17</v>
      </c>
      <c r="O113">
        <v>1.27</v>
      </c>
      <c r="P113">
        <v>3.21</v>
      </c>
      <c r="Q113">
        <v>0</v>
      </c>
      <c r="R113" s="18">
        <f t="shared" si="8"/>
        <v>3103.8000000000175</v>
      </c>
      <c r="S113" s="19">
        <f t="shared" si="9"/>
        <v>1.8478161220614238</v>
      </c>
      <c r="T113" t="str">
        <f t="shared" si="7"/>
        <v>MARCELO MARTINS GONCALVES - 10722</v>
      </c>
    </row>
    <row r="114" spans="1:20" x14ac:dyDescent="0.3">
      <c r="A114" t="s">
        <v>1092</v>
      </c>
      <c r="B114" t="s">
        <v>1184</v>
      </c>
      <c r="C114" s="5">
        <v>46113.339282407411</v>
      </c>
      <c r="D114" s="5">
        <v>46123.68608796296</v>
      </c>
      <c r="E114">
        <v>202163</v>
      </c>
      <c r="F114" t="s">
        <v>1185</v>
      </c>
      <c r="G114" t="s">
        <v>1018</v>
      </c>
      <c r="H114">
        <v>2210.9499999999998</v>
      </c>
      <c r="I114">
        <v>1245.83</v>
      </c>
      <c r="J114">
        <v>1.77468</v>
      </c>
      <c r="K114">
        <v>690284.36</v>
      </c>
      <c r="L114">
        <v>692495.23</v>
      </c>
      <c r="M114">
        <v>6.46</v>
      </c>
      <c r="N114">
        <v>24.42</v>
      </c>
      <c r="O114">
        <v>5.25</v>
      </c>
      <c r="P114">
        <v>0.27</v>
      </c>
      <c r="Q114">
        <v>0</v>
      </c>
      <c r="R114" s="18">
        <f t="shared" si="8"/>
        <v>2210.8699999999953</v>
      </c>
      <c r="S114" s="19">
        <f t="shared" si="9"/>
        <v>1.7746803335928658</v>
      </c>
      <c r="T114" t="str">
        <f t="shared" si="7"/>
        <v>MARCIO ANTONIO DE CARVALHO - 50083</v>
      </c>
    </row>
    <row r="115" spans="1:20" x14ac:dyDescent="0.3">
      <c r="A115" t="s">
        <v>1092</v>
      </c>
      <c r="B115" t="s">
        <v>1186</v>
      </c>
      <c r="C115" s="5">
        <v>46113.26017361111</v>
      </c>
      <c r="D115" s="5">
        <v>46123.626782407409</v>
      </c>
      <c r="E115">
        <v>204314</v>
      </c>
      <c r="F115" t="s">
        <v>1187</v>
      </c>
      <c r="G115" t="s">
        <v>1116</v>
      </c>
      <c r="H115">
        <v>1631.57</v>
      </c>
      <c r="I115">
        <v>0</v>
      </c>
      <c r="J115" t="s">
        <v>1029</v>
      </c>
      <c r="K115">
        <v>464426.82</v>
      </c>
      <c r="L115">
        <v>466058.21</v>
      </c>
      <c r="M115">
        <v>6.39</v>
      </c>
      <c r="N115">
        <v>0</v>
      </c>
      <c r="O115">
        <v>0</v>
      </c>
      <c r="P115">
        <v>0</v>
      </c>
      <c r="Q115">
        <v>0</v>
      </c>
      <c r="R115" s="18">
        <f t="shared" si="8"/>
        <v>1631.390000000014</v>
      </c>
      <c r="S115" s="19" t="e">
        <f t="shared" si="9"/>
        <v>#DIV/0!</v>
      </c>
      <c r="T115" t="str">
        <f t="shared" si="7"/>
        <v>MARCIO WAMMES DA SILVA - 2026</v>
      </c>
    </row>
    <row r="116" spans="1:20" x14ac:dyDescent="0.3">
      <c r="A116" t="s">
        <v>1092</v>
      </c>
      <c r="B116" t="s">
        <v>1188</v>
      </c>
      <c r="C116" s="5">
        <v>46113.270636574074</v>
      </c>
      <c r="D116" s="5">
        <v>46125.249768518515</v>
      </c>
      <c r="E116">
        <v>213485</v>
      </c>
      <c r="F116" t="s">
        <v>1189</v>
      </c>
      <c r="G116" t="s">
        <v>1190</v>
      </c>
      <c r="H116">
        <v>1599.29</v>
      </c>
      <c r="I116">
        <v>723.71</v>
      </c>
      <c r="J116">
        <v>2.2098490000000002</v>
      </c>
      <c r="K116">
        <v>274010.19</v>
      </c>
      <c r="L116">
        <v>275609.38</v>
      </c>
      <c r="M116">
        <v>3.6</v>
      </c>
      <c r="N116">
        <v>15.04</v>
      </c>
      <c r="O116">
        <v>1.37</v>
      </c>
      <c r="P116">
        <v>2.99</v>
      </c>
      <c r="Q116">
        <v>0</v>
      </c>
      <c r="R116" s="18">
        <f t="shared" si="8"/>
        <v>1599.1900000000023</v>
      </c>
      <c r="S116" s="19">
        <f t="shared" si="9"/>
        <v>2.2098492490085806</v>
      </c>
      <c r="T116" t="str">
        <f t="shared" si="7"/>
        <v>MARCOS AURELIO NUNES - 7002</v>
      </c>
    </row>
    <row r="117" spans="1:20" x14ac:dyDescent="0.3">
      <c r="A117" t="s">
        <v>1092</v>
      </c>
      <c r="B117" t="s">
        <v>1191</v>
      </c>
      <c r="C117" s="5">
        <v>46120.516319444447</v>
      </c>
      <c r="D117" s="5">
        <v>46124.346724537034</v>
      </c>
      <c r="E117">
        <v>198015</v>
      </c>
      <c r="F117" t="s">
        <v>1192</v>
      </c>
      <c r="G117" t="s">
        <v>1018</v>
      </c>
      <c r="H117">
        <v>116.92</v>
      </c>
      <c r="I117">
        <v>39.92</v>
      </c>
      <c r="J117">
        <v>2.928858</v>
      </c>
      <c r="K117">
        <v>572182.34</v>
      </c>
      <c r="L117">
        <v>572299.18999999994</v>
      </c>
      <c r="M117">
        <v>1.98</v>
      </c>
      <c r="N117">
        <v>0.96</v>
      </c>
      <c r="O117">
        <v>2.2200000000000002</v>
      </c>
      <c r="P117">
        <v>0.2</v>
      </c>
      <c r="Q117">
        <v>0</v>
      </c>
      <c r="R117" s="18">
        <f t="shared" si="8"/>
        <v>116.84999999997672</v>
      </c>
      <c r="S117" s="19">
        <f t="shared" si="9"/>
        <v>2.9288577154308615</v>
      </c>
      <c r="T117" t="str">
        <f t="shared" si="7"/>
        <v>MATEUS ALVES DOS SANTOS - 10832</v>
      </c>
    </row>
    <row r="118" spans="1:20" x14ac:dyDescent="0.3">
      <c r="A118" t="s">
        <v>1092</v>
      </c>
      <c r="B118" t="s">
        <v>1193</v>
      </c>
      <c r="C118" s="5">
        <v>46113.437037037038</v>
      </c>
      <c r="D118" s="5">
        <v>46123.610682870371</v>
      </c>
      <c r="E118">
        <v>201096</v>
      </c>
      <c r="F118" t="s">
        <v>1194</v>
      </c>
      <c r="G118" t="s">
        <v>1015</v>
      </c>
      <c r="H118">
        <v>42.82</v>
      </c>
      <c r="I118">
        <v>26.22</v>
      </c>
      <c r="J118">
        <v>1.633105</v>
      </c>
      <c r="K118">
        <v>130488.13</v>
      </c>
      <c r="L118">
        <v>130530.91</v>
      </c>
      <c r="M118">
        <v>1.99</v>
      </c>
      <c r="N118">
        <v>0.87</v>
      </c>
      <c r="O118">
        <v>0.59</v>
      </c>
      <c r="P118">
        <v>0.03</v>
      </c>
      <c r="Q118">
        <v>0</v>
      </c>
      <c r="R118" s="18">
        <f t="shared" si="8"/>
        <v>42.779999999998836</v>
      </c>
      <c r="S118" s="19">
        <f t="shared" si="9"/>
        <v>1.6331045003813884</v>
      </c>
      <c r="T118" t="str">
        <f t="shared" si="7"/>
        <v>MICHEL FELIPE SANTANA - 10770</v>
      </c>
    </row>
    <row r="119" spans="1:20" x14ac:dyDescent="0.3">
      <c r="A119" t="s">
        <v>1092</v>
      </c>
      <c r="B119" t="s">
        <v>1195</v>
      </c>
      <c r="C119" s="5">
        <v>46113.238043981481</v>
      </c>
      <c r="D119" s="5">
        <v>46125.321967592594</v>
      </c>
      <c r="E119">
        <v>204822</v>
      </c>
      <c r="F119" t="s">
        <v>1196</v>
      </c>
      <c r="G119" t="s">
        <v>1106</v>
      </c>
      <c r="H119">
        <v>3047.88</v>
      </c>
      <c r="I119">
        <v>1202.95</v>
      </c>
      <c r="J119">
        <v>2.533671</v>
      </c>
      <c r="K119">
        <v>215696.71</v>
      </c>
      <c r="L119">
        <v>218744.34</v>
      </c>
      <c r="M119">
        <v>4.66</v>
      </c>
      <c r="N119">
        <v>26.39</v>
      </c>
      <c r="O119">
        <v>2.69</v>
      </c>
      <c r="P119">
        <v>5.75</v>
      </c>
      <c r="Q119">
        <v>0</v>
      </c>
      <c r="R119" s="18">
        <f t="shared" si="8"/>
        <v>3047.6300000000047</v>
      </c>
      <c r="S119" s="19">
        <f t="shared" si="9"/>
        <v>2.5336713911633901</v>
      </c>
      <c r="T119" t="str">
        <f t="shared" si="7"/>
        <v>MOACIR MENDES SANTOS - 263</v>
      </c>
    </row>
    <row r="120" spans="1:20" x14ac:dyDescent="0.3">
      <c r="A120" t="s">
        <v>1092</v>
      </c>
      <c r="B120" t="s">
        <v>1197</v>
      </c>
      <c r="C120" s="5">
        <v>46113.260914351849</v>
      </c>
      <c r="D120" s="5">
        <v>46124.542141203703</v>
      </c>
      <c r="E120">
        <v>213492</v>
      </c>
      <c r="F120" t="s">
        <v>1198</v>
      </c>
      <c r="G120" t="s">
        <v>1098</v>
      </c>
      <c r="H120">
        <v>1796.55</v>
      </c>
      <c r="I120">
        <v>499.06</v>
      </c>
      <c r="J120">
        <v>3.5998679999999998</v>
      </c>
      <c r="K120">
        <v>296693.45</v>
      </c>
      <c r="L120">
        <v>298489.90000000002</v>
      </c>
      <c r="M120">
        <v>7.48</v>
      </c>
      <c r="N120">
        <v>21.07</v>
      </c>
      <c r="O120">
        <v>3.82</v>
      </c>
      <c r="P120">
        <v>6.9</v>
      </c>
      <c r="Q120">
        <v>0</v>
      </c>
      <c r="R120" s="18">
        <f t="shared" si="8"/>
        <v>1796.4500000000116</v>
      </c>
      <c r="S120" s="19">
        <f t="shared" si="9"/>
        <v>3.5998677513725803</v>
      </c>
      <c r="T120" t="str">
        <f t="shared" si="7"/>
        <v>PAULO HENRIQUE MARTINS LAGES - 662</v>
      </c>
    </row>
    <row r="121" spans="1:20" x14ac:dyDescent="0.3">
      <c r="A121" t="s">
        <v>1092</v>
      </c>
      <c r="B121" t="s">
        <v>1199</v>
      </c>
      <c r="C121" s="5">
        <v>46113.386296296296</v>
      </c>
      <c r="D121" s="5">
        <v>46125.327673611115</v>
      </c>
      <c r="E121">
        <v>204128</v>
      </c>
      <c r="F121" t="s">
        <v>1200</v>
      </c>
      <c r="G121" t="s">
        <v>1007</v>
      </c>
      <c r="H121">
        <v>3640.92</v>
      </c>
      <c r="I121">
        <v>2043.53</v>
      </c>
      <c r="J121">
        <v>1.781682</v>
      </c>
      <c r="K121">
        <v>146667.98000000001</v>
      </c>
      <c r="L121">
        <v>150308.6</v>
      </c>
      <c r="M121">
        <v>4.34</v>
      </c>
      <c r="N121">
        <v>39.770000000000003</v>
      </c>
      <c r="O121">
        <v>1.08</v>
      </c>
      <c r="P121">
        <v>1.34</v>
      </c>
      <c r="Q121">
        <v>0</v>
      </c>
      <c r="R121" s="18">
        <f t="shared" si="8"/>
        <v>3640.6199999999953</v>
      </c>
      <c r="S121" s="19">
        <f t="shared" si="9"/>
        <v>1.7816816978463736</v>
      </c>
      <c r="T121" t="str">
        <f t="shared" si="7"/>
        <v>ROBERTO DA SILVA AIRES - 10825</v>
      </c>
    </row>
    <row r="122" spans="1:20" x14ac:dyDescent="0.3">
      <c r="A122" t="s">
        <v>1092</v>
      </c>
      <c r="B122" t="s">
        <v>1201</v>
      </c>
      <c r="C122" s="5">
        <v>46113.394004629627</v>
      </c>
      <c r="D122" s="5">
        <v>46123.626469907409</v>
      </c>
      <c r="E122">
        <v>200989</v>
      </c>
      <c r="F122" t="s">
        <v>1202</v>
      </c>
      <c r="G122" t="s">
        <v>1116</v>
      </c>
      <c r="H122">
        <v>2051.23</v>
      </c>
      <c r="I122">
        <v>0</v>
      </c>
      <c r="J122" t="s">
        <v>1029</v>
      </c>
      <c r="K122">
        <v>532364.12</v>
      </c>
      <c r="L122">
        <v>534415.23</v>
      </c>
      <c r="M122">
        <v>5.98</v>
      </c>
      <c r="N122">
        <v>0</v>
      </c>
      <c r="O122">
        <v>0</v>
      </c>
      <c r="P122">
        <v>0</v>
      </c>
      <c r="Q122">
        <v>0</v>
      </c>
      <c r="R122" s="18">
        <f t="shared" si="8"/>
        <v>2051.109999999986</v>
      </c>
      <c r="S122" s="19" t="e">
        <f t="shared" si="9"/>
        <v>#DIV/0!</v>
      </c>
      <c r="T122" t="str">
        <f t="shared" si="7"/>
        <v>ROBSON SILVA SALES - 669</v>
      </c>
    </row>
    <row r="123" spans="1:20" x14ac:dyDescent="0.3">
      <c r="A123" t="s">
        <v>1092</v>
      </c>
      <c r="B123" t="s">
        <v>1203</v>
      </c>
      <c r="C123" s="5">
        <v>46113.333622685182</v>
      </c>
      <c r="D123" s="5">
        <v>46125.324930555558</v>
      </c>
      <c r="E123">
        <v>200251</v>
      </c>
      <c r="F123" t="s">
        <v>1204</v>
      </c>
      <c r="G123" t="s">
        <v>1032</v>
      </c>
      <c r="H123">
        <v>1957.63</v>
      </c>
      <c r="I123">
        <v>474.38</v>
      </c>
      <c r="J123">
        <v>4.1267129999999996</v>
      </c>
      <c r="K123">
        <v>193529.95</v>
      </c>
      <c r="L123">
        <v>195492.34</v>
      </c>
      <c r="M123">
        <v>5.09</v>
      </c>
      <c r="N123">
        <v>14.72</v>
      </c>
      <c r="O123">
        <v>9.15</v>
      </c>
      <c r="P123">
        <v>0.78</v>
      </c>
      <c r="Q123">
        <v>0</v>
      </c>
      <c r="R123" s="18">
        <f t="shared" si="8"/>
        <v>1962.3899999999849</v>
      </c>
      <c r="S123" s="19">
        <f t="shared" si="9"/>
        <v>4.1267127619208228</v>
      </c>
      <c r="T123" t="str">
        <f t="shared" si="7"/>
        <v>SEBASTIAO LIMA DE SOUZA - 10688</v>
      </c>
    </row>
    <row r="124" spans="1:20" x14ac:dyDescent="0.3">
      <c r="A124" t="s">
        <v>1092</v>
      </c>
      <c r="B124" t="s">
        <v>1203</v>
      </c>
      <c r="C124" s="5">
        <v>46114.443171296298</v>
      </c>
      <c r="D124" s="5">
        <v>46121.435891203706</v>
      </c>
      <c r="E124">
        <v>208779</v>
      </c>
      <c r="F124" t="s">
        <v>1205</v>
      </c>
      <c r="G124">
        <v>380</v>
      </c>
      <c r="H124">
        <v>507.77</v>
      </c>
      <c r="I124">
        <v>154.27000000000001</v>
      </c>
      <c r="J124">
        <v>3.2914370000000002</v>
      </c>
      <c r="K124">
        <v>473638.23</v>
      </c>
      <c r="L124">
        <v>474146</v>
      </c>
      <c r="M124">
        <v>1.93</v>
      </c>
      <c r="N124">
        <v>4.4000000000000004</v>
      </c>
      <c r="O124">
        <v>0.42</v>
      </c>
      <c r="P124">
        <v>1.31</v>
      </c>
      <c r="Q124">
        <v>0</v>
      </c>
      <c r="R124" s="18">
        <f t="shared" si="8"/>
        <v>507.77000000001863</v>
      </c>
      <c r="S124" s="19">
        <f t="shared" si="9"/>
        <v>3.2914370908148047</v>
      </c>
      <c r="T124" t="str">
        <f t="shared" si="7"/>
        <v>SEBASTIAO LIMA DE SOUZA - 10688</v>
      </c>
    </row>
    <row r="125" spans="1:20" x14ac:dyDescent="0.3">
      <c r="A125" t="s">
        <v>1092</v>
      </c>
      <c r="B125" t="s">
        <v>1206</v>
      </c>
      <c r="C125" s="5">
        <v>46113.320625</v>
      </c>
      <c r="D125" s="5">
        <v>46123.985648148147</v>
      </c>
      <c r="E125">
        <v>213493</v>
      </c>
      <c r="F125" t="s">
        <v>1207</v>
      </c>
      <c r="G125" t="s">
        <v>1098</v>
      </c>
      <c r="H125">
        <v>2299.29</v>
      </c>
      <c r="I125">
        <v>928.08</v>
      </c>
      <c r="J125">
        <v>2.4774699999999998</v>
      </c>
      <c r="K125">
        <v>343641.73</v>
      </c>
      <c r="L125">
        <v>345940.88</v>
      </c>
      <c r="M125">
        <v>2.44</v>
      </c>
      <c r="N125">
        <v>24.75</v>
      </c>
      <c r="O125">
        <v>1.36</v>
      </c>
      <c r="P125">
        <v>8.8699999999999992</v>
      </c>
      <c r="Q125">
        <v>0</v>
      </c>
      <c r="R125" s="18">
        <f t="shared" si="8"/>
        <v>2299.1500000000233</v>
      </c>
      <c r="S125" s="19">
        <f t="shared" si="9"/>
        <v>2.4774696146883888</v>
      </c>
      <c r="T125" t="str">
        <f t="shared" si="7"/>
        <v>SERGIO CARLOS ROCHA - 671</v>
      </c>
    </row>
    <row r="126" spans="1:20" x14ac:dyDescent="0.3">
      <c r="A126" t="s">
        <v>1092</v>
      </c>
      <c r="B126" t="s">
        <v>1208</v>
      </c>
      <c r="C126" s="5">
        <v>46113.260034722225</v>
      </c>
      <c r="D126" s="5">
        <v>46124.725173611114</v>
      </c>
      <c r="E126">
        <v>216402</v>
      </c>
      <c r="F126" t="s">
        <v>1209</v>
      </c>
      <c r="G126" t="s">
        <v>1032</v>
      </c>
      <c r="H126">
        <v>2310.0700000000002</v>
      </c>
      <c r="I126">
        <v>870.17</v>
      </c>
      <c r="J126">
        <v>2.6547339999999999</v>
      </c>
      <c r="K126">
        <v>238375.88</v>
      </c>
      <c r="L126">
        <v>240685.79</v>
      </c>
      <c r="M126">
        <v>3.28</v>
      </c>
      <c r="N126">
        <v>22.58</v>
      </c>
      <c r="O126">
        <v>1.84</v>
      </c>
      <c r="P126">
        <v>3.6</v>
      </c>
      <c r="Q126">
        <v>0</v>
      </c>
      <c r="R126" s="18">
        <f t="shared" si="8"/>
        <v>2309.9100000000035</v>
      </c>
      <c r="S126" s="19">
        <f t="shared" si="9"/>
        <v>2.6547341324109084</v>
      </c>
      <c r="T126" t="str">
        <f t="shared" si="7"/>
        <v>SILVIO CZELUSARZ - 299</v>
      </c>
    </row>
    <row r="127" spans="1:20" x14ac:dyDescent="0.3">
      <c r="A127" t="s">
        <v>1092</v>
      </c>
      <c r="B127" t="s">
        <v>1210</v>
      </c>
      <c r="C127" s="5">
        <v>46113.319050925929</v>
      </c>
      <c r="D127" s="5">
        <v>46125.349768518521</v>
      </c>
      <c r="E127">
        <v>203826</v>
      </c>
      <c r="F127" t="s">
        <v>1211</v>
      </c>
      <c r="G127" t="s">
        <v>1106</v>
      </c>
      <c r="H127">
        <v>3193.62</v>
      </c>
      <c r="I127">
        <v>1269.3599999999999</v>
      </c>
      <c r="J127">
        <v>2.5159289999999999</v>
      </c>
      <c r="K127">
        <v>209615.52</v>
      </c>
      <c r="L127">
        <v>212808.95999999999</v>
      </c>
      <c r="M127">
        <v>5.15</v>
      </c>
      <c r="N127">
        <v>27.44</v>
      </c>
      <c r="O127">
        <v>1.96</v>
      </c>
      <c r="P127">
        <v>5.77</v>
      </c>
      <c r="Q127">
        <v>0</v>
      </c>
      <c r="R127" s="18">
        <f t="shared" si="8"/>
        <v>3193.4400000000023</v>
      </c>
      <c r="S127" s="19">
        <f t="shared" si="9"/>
        <v>2.5159292871998487</v>
      </c>
      <c r="T127" t="str">
        <f t="shared" si="7"/>
        <v>VALDECIR SALES DOS PASSOS - 10718</v>
      </c>
    </row>
    <row r="128" spans="1:20" x14ac:dyDescent="0.3">
      <c r="A128" t="s">
        <v>1092</v>
      </c>
      <c r="B128" t="s">
        <v>1212</v>
      </c>
      <c r="C128" s="5">
        <v>46113.281944444447</v>
      </c>
      <c r="D128" s="5">
        <v>46125.250543981485</v>
      </c>
      <c r="E128">
        <v>199300</v>
      </c>
      <c r="F128" t="s">
        <v>1213</v>
      </c>
      <c r="G128" t="s">
        <v>1015</v>
      </c>
      <c r="H128">
        <v>3199.45</v>
      </c>
      <c r="I128">
        <v>1983.68</v>
      </c>
      <c r="J128">
        <v>1.612886</v>
      </c>
      <c r="K128">
        <v>226178.09</v>
      </c>
      <c r="L128">
        <v>229377.33</v>
      </c>
      <c r="M128">
        <v>8.36</v>
      </c>
      <c r="N128">
        <v>36.18</v>
      </c>
      <c r="O128">
        <v>2.67</v>
      </c>
      <c r="P128">
        <v>4.32</v>
      </c>
      <c r="Q128">
        <v>0</v>
      </c>
      <c r="R128" s="18">
        <f t="shared" si="8"/>
        <v>3199.2399999999907</v>
      </c>
      <c r="S128" s="19">
        <f t="shared" si="9"/>
        <v>1.6128861509920953</v>
      </c>
      <c r="T128" t="str">
        <f t="shared" si="7"/>
        <v>WESLEY MILHOMEM DE SOUSA - 10757</v>
      </c>
    </row>
    <row r="129" spans="1:20" x14ac:dyDescent="0.3">
      <c r="A129" t="s">
        <v>1092</v>
      </c>
      <c r="B129" t="s">
        <v>1214</v>
      </c>
      <c r="C129" s="5">
        <v>46113.432384259257</v>
      </c>
      <c r="D129" s="5">
        <v>46122.731157407405</v>
      </c>
      <c r="E129">
        <v>213499</v>
      </c>
      <c r="F129" t="s">
        <v>1215</v>
      </c>
      <c r="G129" t="s">
        <v>1116</v>
      </c>
      <c r="H129">
        <v>2187.9</v>
      </c>
      <c r="I129">
        <v>0</v>
      </c>
      <c r="J129" t="s">
        <v>1029</v>
      </c>
      <c r="K129">
        <v>481978.16</v>
      </c>
      <c r="L129">
        <v>484165.88</v>
      </c>
      <c r="M129">
        <v>6.18</v>
      </c>
      <c r="N129">
        <v>0</v>
      </c>
      <c r="O129">
        <v>0</v>
      </c>
      <c r="P129">
        <v>0</v>
      </c>
      <c r="Q129">
        <v>0</v>
      </c>
      <c r="R129" s="18">
        <f t="shared" si="8"/>
        <v>2187.7200000000303</v>
      </c>
      <c r="S129" s="19" t="e">
        <f t="shared" si="9"/>
        <v>#DIV/0!</v>
      </c>
      <c r="T129" t="str">
        <f t="shared" si="7"/>
        <v>WESLLEY MARLLON ONOFRE - 2022</v>
      </c>
    </row>
    <row r="130" spans="1:20" x14ac:dyDescent="0.3">
      <c r="C130" s="5"/>
      <c r="D130" s="5"/>
      <c r="J130"/>
      <c r="R130" s="18">
        <f t="shared" si="8"/>
        <v>0</v>
      </c>
      <c r="S130" s="19" t="e">
        <f t="shared" si="9"/>
        <v>#DIV/0!</v>
      </c>
      <c r="T130" t="str">
        <f t="shared" si="7"/>
        <v/>
      </c>
    </row>
    <row r="131" spans="1:20" x14ac:dyDescent="0.3">
      <c r="C131" s="5"/>
      <c r="D131" s="5"/>
      <c r="J131"/>
      <c r="R131" s="18">
        <f t="shared" si="8"/>
        <v>0</v>
      </c>
      <c r="S131" s="19" t="e">
        <f t="shared" si="9"/>
        <v>#DIV/0!</v>
      </c>
      <c r="T131" t="str">
        <f t="shared" ref="T131:T141" si="10">TRIM(B131)</f>
        <v/>
      </c>
    </row>
    <row r="132" spans="1:20" x14ac:dyDescent="0.3">
      <c r="C132" s="5"/>
      <c r="D132" s="5"/>
      <c r="J132"/>
      <c r="R132" s="18">
        <f t="shared" si="8"/>
        <v>0</v>
      </c>
      <c r="S132" s="19" t="e">
        <f t="shared" si="9"/>
        <v>#DIV/0!</v>
      </c>
      <c r="T132" t="str">
        <f t="shared" si="10"/>
        <v/>
      </c>
    </row>
    <row r="133" spans="1:20" x14ac:dyDescent="0.3">
      <c r="C133" s="5"/>
      <c r="D133" s="5"/>
      <c r="J133"/>
      <c r="R133" s="18">
        <f t="shared" si="8"/>
        <v>0</v>
      </c>
      <c r="S133" s="19" t="e">
        <f t="shared" si="9"/>
        <v>#DIV/0!</v>
      </c>
      <c r="T133" t="str">
        <f t="shared" si="10"/>
        <v/>
      </c>
    </row>
    <row r="134" spans="1:20" x14ac:dyDescent="0.3">
      <c r="C134" s="5"/>
      <c r="D134" s="5"/>
      <c r="J134"/>
      <c r="R134" s="18">
        <f t="shared" si="8"/>
        <v>0</v>
      </c>
      <c r="T134" t="str">
        <f t="shared" si="10"/>
        <v/>
      </c>
    </row>
    <row r="135" spans="1:20" x14ac:dyDescent="0.3">
      <c r="C135" s="5"/>
      <c r="D135" s="5"/>
      <c r="J135"/>
      <c r="R135" s="18">
        <f t="shared" si="8"/>
        <v>0</v>
      </c>
      <c r="T135" t="str">
        <f t="shared" si="10"/>
        <v/>
      </c>
    </row>
    <row r="136" spans="1:20" x14ac:dyDescent="0.3">
      <c r="C136" s="5"/>
      <c r="D136" s="5"/>
      <c r="J136"/>
      <c r="R136" s="18">
        <f t="shared" si="8"/>
        <v>0</v>
      </c>
      <c r="T136" t="str">
        <f t="shared" si="10"/>
        <v/>
      </c>
    </row>
    <row r="137" spans="1:20" x14ac:dyDescent="0.3">
      <c r="C137" s="5"/>
      <c r="D137" s="5"/>
      <c r="J137"/>
      <c r="R137" s="18">
        <f t="shared" si="8"/>
        <v>0</v>
      </c>
      <c r="T137" t="str">
        <f t="shared" si="10"/>
        <v/>
      </c>
    </row>
    <row r="138" spans="1:20" x14ac:dyDescent="0.3">
      <c r="C138" s="5"/>
      <c r="D138" s="5"/>
      <c r="J138"/>
      <c r="R138" s="18">
        <f t="shared" si="8"/>
        <v>0</v>
      </c>
      <c r="T138" t="str">
        <f t="shared" si="10"/>
        <v/>
      </c>
    </row>
    <row r="139" spans="1:20" x14ac:dyDescent="0.3">
      <c r="C139" s="5"/>
      <c r="D139" s="5"/>
      <c r="J139"/>
      <c r="R139" s="18">
        <f t="shared" si="8"/>
        <v>0</v>
      </c>
      <c r="T139" t="str">
        <f t="shared" si="10"/>
        <v/>
      </c>
    </row>
    <row r="140" spans="1:20" x14ac:dyDescent="0.3">
      <c r="C140" s="5"/>
      <c r="D140" s="5"/>
      <c r="J140"/>
      <c r="R140" s="18">
        <f t="shared" si="8"/>
        <v>0</v>
      </c>
      <c r="T140" t="str">
        <f t="shared" si="10"/>
        <v/>
      </c>
    </row>
    <row r="141" spans="1:20" x14ac:dyDescent="0.3">
      <c r="C141" s="5"/>
      <c r="D141" s="5"/>
      <c r="J141"/>
      <c r="R141" s="18">
        <f t="shared" si="8"/>
        <v>0</v>
      </c>
      <c r="T141" t="str">
        <f t="shared" si="10"/>
        <v/>
      </c>
    </row>
    <row r="142" spans="1:20" x14ac:dyDescent="0.3">
      <c r="C142" s="5"/>
      <c r="D142" s="5"/>
      <c r="J142"/>
    </row>
    <row r="143" spans="1:20" x14ac:dyDescent="0.3">
      <c r="C143" s="5"/>
      <c r="D143" s="5"/>
      <c r="J143"/>
    </row>
    <row r="144" spans="1:20" x14ac:dyDescent="0.3">
      <c r="C144" s="5"/>
      <c r="D144" s="5"/>
      <c r="J144"/>
    </row>
    <row r="145" spans="3:10" x14ac:dyDescent="0.3">
      <c r="C145" s="5"/>
      <c r="D145" s="5"/>
      <c r="J145"/>
    </row>
    <row r="146" spans="3:10" x14ac:dyDescent="0.3">
      <c r="C146" s="5"/>
      <c r="D146" s="5"/>
      <c r="J146"/>
    </row>
    <row r="147" spans="3:10" x14ac:dyDescent="0.3">
      <c r="C147" s="5"/>
      <c r="D147" s="5"/>
      <c r="J147"/>
    </row>
    <row r="148" spans="3:10" x14ac:dyDescent="0.3">
      <c r="C148" s="5"/>
      <c r="D148" s="5"/>
      <c r="J148"/>
    </row>
    <row r="149" spans="3:10" x14ac:dyDescent="0.3">
      <c r="C149" s="5"/>
      <c r="D149" s="5"/>
      <c r="J149"/>
    </row>
    <row r="150" spans="3:10" x14ac:dyDescent="0.3">
      <c r="C150" s="5"/>
      <c r="D150" s="5"/>
      <c r="J150"/>
    </row>
    <row r="151" spans="3:10" x14ac:dyDescent="0.3">
      <c r="C151" s="5"/>
      <c r="D151" s="5"/>
      <c r="J151"/>
    </row>
    <row r="152" spans="3:10" x14ac:dyDescent="0.3">
      <c r="C152" s="5"/>
      <c r="D152" s="5"/>
      <c r="J152"/>
    </row>
    <row r="153" spans="3:10" x14ac:dyDescent="0.3">
      <c r="C153" s="5"/>
      <c r="D153" s="5"/>
      <c r="J153"/>
    </row>
    <row r="154" spans="3:10" x14ac:dyDescent="0.3">
      <c r="C154" s="5"/>
      <c r="D154" s="5"/>
      <c r="J154"/>
    </row>
    <row r="155" spans="3:10" x14ac:dyDescent="0.3">
      <c r="C155" s="5"/>
      <c r="D155" s="5"/>
      <c r="J155"/>
    </row>
    <row r="156" spans="3:10" x14ac:dyDescent="0.3">
      <c r="C156" s="5"/>
      <c r="D156" s="5"/>
      <c r="J156"/>
    </row>
  </sheetData>
  <autoFilter ref="A1:S133" xr:uid="{00000000-0001-0000-0000-000000000000}"/>
  <phoneticPr fontId="6" type="noConversion"/>
  <conditionalFormatting sqref="F1:F1048576">
    <cfRule type="duplicateValues" dxfId="4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A1A4-4249-4383-AB2F-A508903BFC21}">
  <sheetPr codeName="Planilha6" filterMode="1"/>
  <dimension ref="A1:H284"/>
  <sheetViews>
    <sheetView topLeftCell="A263" workbookViewId="0">
      <selection activeCell="C284" sqref="C284"/>
    </sheetView>
  </sheetViews>
  <sheetFormatPr defaultColWidth="8.88671875" defaultRowHeight="14.4" x14ac:dyDescent="0.3"/>
  <cols>
    <col min="1" max="1" width="26.88671875" style="8" customWidth="1"/>
    <col min="2" max="2" width="27.33203125" style="8" customWidth="1"/>
    <col min="3" max="3" width="35.33203125" style="8" bestFit="1" customWidth="1"/>
    <col min="4" max="4" width="8.88671875" style="8" customWidth="1"/>
    <col min="5" max="5" width="9.6640625" style="8" bestFit="1" customWidth="1"/>
    <col min="6" max="6" width="11.33203125" style="8" customWidth="1"/>
    <col min="7" max="7" width="9.5546875" style="8" bestFit="1" customWidth="1"/>
    <col min="8" max="8" width="152.6640625" style="11" customWidth="1"/>
    <col min="9" max="16384" width="8.88671875" style="8"/>
  </cols>
  <sheetData>
    <row r="1" spans="1:8" ht="25.2" customHeight="1" x14ac:dyDescent="0.3">
      <c r="A1" s="12" t="s">
        <v>143</v>
      </c>
      <c r="B1" s="12" t="s">
        <v>145</v>
      </c>
      <c r="C1" s="12" t="s">
        <v>3</v>
      </c>
      <c r="D1" s="12" t="s">
        <v>1216</v>
      </c>
      <c r="E1" s="12" t="s">
        <v>1217</v>
      </c>
      <c r="F1" s="13" t="s">
        <v>1218</v>
      </c>
      <c r="G1" s="12" t="s">
        <v>1219</v>
      </c>
      <c r="H1" s="13" t="s">
        <v>1220</v>
      </c>
    </row>
    <row r="2" spans="1:8" ht="54.6" customHeight="1" x14ac:dyDescent="0.3">
      <c r="A2" s="9" t="s">
        <v>1221</v>
      </c>
      <c r="B2" s="9" t="s">
        <v>1222</v>
      </c>
      <c r="C2" s="9" t="s">
        <v>1223</v>
      </c>
      <c r="D2" s="9">
        <v>520</v>
      </c>
      <c r="E2" s="9">
        <v>7</v>
      </c>
      <c r="F2" s="9">
        <v>390.6</v>
      </c>
      <c r="G2" s="14" t="s">
        <v>1224</v>
      </c>
      <c r="H2" s="10" t="s">
        <v>1225</v>
      </c>
    </row>
    <row r="3" spans="1:8" ht="54.6" hidden="1" customHeight="1" x14ac:dyDescent="0.3">
      <c r="A3" s="9" t="s">
        <v>1226</v>
      </c>
      <c r="B3" s="9" t="s">
        <v>1227</v>
      </c>
      <c r="C3" s="9" t="s">
        <v>1228</v>
      </c>
      <c r="D3" s="9">
        <v>1700</v>
      </c>
      <c r="E3" s="9">
        <v>12</v>
      </c>
      <c r="F3" s="9">
        <v>859.5</v>
      </c>
      <c r="G3" s="14" t="s">
        <v>1224</v>
      </c>
      <c r="H3" s="10" t="s">
        <v>1229</v>
      </c>
    </row>
    <row r="4" spans="1:8" ht="54.6" hidden="1" customHeight="1" x14ac:dyDescent="0.3">
      <c r="A4" s="9" t="s">
        <v>1226</v>
      </c>
      <c r="B4" s="9" t="s">
        <v>1230</v>
      </c>
      <c r="C4" s="9" t="s">
        <v>1231</v>
      </c>
      <c r="D4" s="9">
        <v>1491</v>
      </c>
      <c r="E4" s="9">
        <v>9</v>
      </c>
      <c r="F4" s="9">
        <v>700.2</v>
      </c>
      <c r="G4" s="14" t="s">
        <v>1224</v>
      </c>
      <c r="H4" s="10" t="s">
        <v>1232</v>
      </c>
    </row>
    <row r="5" spans="1:8" ht="54.6" hidden="1" customHeight="1" x14ac:dyDescent="0.3">
      <c r="A5" s="9" t="s">
        <v>1233</v>
      </c>
      <c r="B5" s="9" t="s">
        <v>1234</v>
      </c>
      <c r="C5" s="9" t="s">
        <v>1235</v>
      </c>
      <c r="D5" s="9">
        <v>1003</v>
      </c>
      <c r="E5" s="9">
        <v>14</v>
      </c>
      <c r="F5" s="9">
        <v>1566.9</v>
      </c>
      <c r="G5" s="14" t="s">
        <v>1224</v>
      </c>
      <c r="H5" s="10" t="s">
        <v>1236</v>
      </c>
    </row>
    <row r="6" spans="1:8" ht="54.6" customHeight="1" x14ac:dyDescent="0.3">
      <c r="A6" s="9" t="s">
        <v>1237</v>
      </c>
      <c r="B6" s="9" t="s">
        <v>1222</v>
      </c>
      <c r="C6" s="9" t="s">
        <v>1238</v>
      </c>
      <c r="D6" s="9">
        <v>465</v>
      </c>
      <c r="E6" s="9">
        <v>6</v>
      </c>
      <c r="F6" s="9">
        <v>442.8</v>
      </c>
      <c r="G6" s="14" t="s">
        <v>1224</v>
      </c>
      <c r="H6" s="10" t="s">
        <v>1239</v>
      </c>
    </row>
    <row r="7" spans="1:8" ht="54.6" hidden="1" customHeight="1" x14ac:dyDescent="0.3">
      <c r="A7" s="9" t="s">
        <v>1240</v>
      </c>
      <c r="B7" s="9" t="s">
        <v>1241</v>
      </c>
      <c r="C7" s="9" t="s">
        <v>1242</v>
      </c>
      <c r="D7" s="9">
        <v>1078</v>
      </c>
      <c r="E7" s="9">
        <v>18</v>
      </c>
      <c r="F7" s="9">
        <v>802.8</v>
      </c>
      <c r="G7" s="14" t="s">
        <v>1224</v>
      </c>
      <c r="H7" s="10" t="s">
        <v>1243</v>
      </c>
    </row>
    <row r="8" spans="1:8" ht="54.6" hidden="1" customHeight="1" x14ac:dyDescent="0.3">
      <c r="A8" s="9" t="s">
        <v>1241</v>
      </c>
      <c r="B8" s="9" t="s">
        <v>1226</v>
      </c>
      <c r="C8" s="9" t="s">
        <v>1244</v>
      </c>
      <c r="D8" s="9">
        <v>45</v>
      </c>
      <c r="E8" s="9">
        <v>1</v>
      </c>
      <c r="F8" s="9">
        <v>103.5</v>
      </c>
      <c r="G8" s="14" t="s">
        <v>1224</v>
      </c>
      <c r="H8" s="10" t="s">
        <v>1245</v>
      </c>
    </row>
    <row r="9" spans="1:8" ht="54.6" hidden="1" customHeight="1" x14ac:dyDescent="0.3">
      <c r="A9" s="9" t="s">
        <v>1246</v>
      </c>
      <c r="B9" s="9" t="s">
        <v>1247</v>
      </c>
      <c r="C9" s="9" t="s">
        <v>1248</v>
      </c>
      <c r="D9" s="9">
        <v>1676</v>
      </c>
      <c r="E9" s="9">
        <v>19</v>
      </c>
      <c r="F9" s="9">
        <v>1759.9</v>
      </c>
      <c r="G9" s="14" t="s">
        <v>1224</v>
      </c>
      <c r="H9" s="10" t="s">
        <v>1249</v>
      </c>
    </row>
    <row r="10" spans="1:8" ht="54.6" hidden="1" customHeight="1" x14ac:dyDescent="0.3">
      <c r="A10" s="9" t="s">
        <v>1237</v>
      </c>
      <c r="B10" s="9" t="s">
        <v>1250</v>
      </c>
      <c r="C10" s="9" t="s">
        <v>1251</v>
      </c>
      <c r="D10" s="9">
        <v>508</v>
      </c>
      <c r="E10" s="9">
        <v>8</v>
      </c>
      <c r="F10" s="9">
        <v>470.7</v>
      </c>
      <c r="G10" s="14" t="s">
        <v>1224</v>
      </c>
      <c r="H10" s="10" t="s">
        <v>1252</v>
      </c>
    </row>
    <row r="11" spans="1:8" ht="54.6" hidden="1" customHeight="1" x14ac:dyDescent="0.3">
      <c r="A11" s="9" t="s">
        <v>1253</v>
      </c>
      <c r="B11" s="9" t="s">
        <v>1254</v>
      </c>
      <c r="C11" s="9" t="s">
        <v>1255</v>
      </c>
      <c r="D11" s="9">
        <v>1693</v>
      </c>
      <c r="E11" s="9">
        <v>21</v>
      </c>
      <c r="F11" s="9">
        <v>2004.1</v>
      </c>
      <c r="G11" s="14" t="s">
        <v>1224</v>
      </c>
      <c r="H11" s="10" t="s">
        <v>1256</v>
      </c>
    </row>
    <row r="12" spans="1:8" ht="54.6" hidden="1" customHeight="1" x14ac:dyDescent="0.3">
      <c r="A12" s="9" t="s">
        <v>1237</v>
      </c>
      <c r="B12" s="9" t="s">
        <v>1257</v>
      </c>
      <c r="C12" s="9" t="s">
        <v>1258</v>
      </c>
      <c r="D12" s="9">
        <v>568</v>
      </c>
      <c r="E12" s="9">
        <v>11</v>
      </c>
      <c r="F12" s="9">
        <v>603.9</v>
      </c>
      <c r="G12" s="14" t="s">
        <v>1224</v>
      </c>
      <c r="H12" s="10" t="s">
        <v>1259</v>
      </c>
    </row>
    <row r="13" spans="1:8" ht="54.6" hidden="1" customHeight="1" x14ac:dyDescent="0.3">
      <c r="A13" s="9" t="s">
        <v>1260</v>
      </c>
      <c r="B13" s="9" t="s">
        <v>1226</v>
      </c>
      <c r="C13" s="9" t="s">
        <v>1261</v>
      </c>
      <c r="D13" s="9">
        <v>402</v>
      </c>
      <c r="E13" s="9">
        <v>1</v>
      </c>
      <c r="F13" s="9">
        <v>78.3</v>
      </c>
      <c r="G13" s="14" t="s">
        <v>1224</v>
      </c>
      <c r="H13" s="10" t="s">
        <v>1262</v>
      </c>
    </row>
    <row r="14" spans="1:8" ht="54.6" hidden="1" customHeight="1" x14ac:dyDescent="0.3">
      <c r="A14" s="9" t="s">
        <v>1263</v>
      </c>
      <c r="B14" s="9" t="s">
        <v>1264</v>
      </c>
      <c r="C14" s="9" t="s">
        <v>1265</v>
      </c>
      <c r="D14" s="9">
        <v>1162</v>
      </c>
      <c r="E14" s="9">
        <v>6</v>
      </c>
      <c r="F14" s="9">
        <v>612.9</v>
      </c>
      <c r="G14" s="14" t="s">
        <v>1224</v>
      </c>
      <c r="H14" s="10" t="s">
        <v>1266</v>
      </c>
    </row>
    <row r="15" spans="1:8" ht="25.2" hidden="1" customHeight="1" x14ac:dyDescent="0.3">
      <c r="A15" s="9" t="s">
        <v>1267</v>
      </c>
      <c r="B15" s="9" t="s">
        <v>1268</v>
      </c>
      <c r="C15" s="9" t="s">
        <v>1269</v>
      </c>
      <c r="D15" s="9">
        <v>837</v>
      </c>
      <c r="E15" s="9">
        <v>0</v>
      </c>
      <c r="F15" s="9">
        <v>0</v>
      </c>
      <c r="G15" s="14" t="s">
        <v>1224</v>
      </c>
      <c r="H15" s="10"/>
    </row>
    <row r="16" spans="1:8" ht="54.6" hidden="1" customHeight="1" x14ac:dyDescent="0.3">
      <c r="A16" s="9" t="s">
        <v>1267</v>
      </c>
      <c r="B16" s="9" t="s">
        <v>1270</v>
      </c>
      <c r="C16" s="9" t="s">
        <v>1271</v>
      </c>
      <c r="D16" s="9">
        <v>1035</v>
      </c>
      <c r="E16" s="9">
        <v>3</v>
      </c>
      <c r="F16" s="9">
        <v>148.5</v>
      </c>
      <c r="G16" s="14" t="s">
        <v>1224</v>
      </c>
      <c r="H16" s="10" t="s">
        <v>1272</v>
      </c>
    </row>
    <row r="17" spans="1:8" ht="25.2" hidden="1" customHeight="1" x14ac:dyDescent="0.3">
      <c r="A17" s="9" t="s">
        <v>1267</v>
      </c>
      <c r="B17" s="9" t="s">
        <v>1273</v>
      </c>
      <c r="C17" s="9" t="s">
        <v>1274</v>
      </c>
      <c r="D17" s="9">
        <v>961</v>
      </c>
      <c r="E17" s="9">
        <v>0</v>
      </c>
      <c r="F17" s="9">
        <v>0</v>
      </c>
      <c r="G17" s="14" t="s">
        <v>1224</v>
      </c>
      <c r="H17" s="10"/>
    </row>
    <row r="18" spans="1:8" ht="54.6" hidden="1" customHeight="1" x14ac:dyDescent="0.3">
      <c r="A18" s="9" t="s">
        <v>1233</v>
      </c>
      <c r="B18" s="9" t="s">
        <v>1275</v>
      </c>
      <c r="C18" s="9" t="s">
        <v>1276</v>
      </c>
      <c r="D18" s="9">
        <v>1083</v>
      </c>
      <c r="E18" s="9">
        <v>4</v>
      </c>
      <c r="F18" s="9">
        <v>218.7</v>
      </c>
      <c r="G18" s="14" t="s">
        <v>1224</v>
      </c>
      <c r="H18" s="10" t="s">
        <v>1277</v>
      </c>
    </row>
    <row r="19" spans="1:8" ht="54.6" hidden="1" customHeight="1" x14ac:dyDescent="0.3">
      <c r="A19" s="9" t="s">
        <v>1278</v>
      </c>
      <c r="B19" s="9" t="s">
        <v>1257</v>
      </c>
      <c r="C19" s="9" t="s">
        <v>1279</v>
      </c>
      <c r="D19" s="9">
        <v>155</v>
      </c>
      <c r="E19" s="9">
        <v>4</v>
      </c>
      <c r="F19" s="9">
        <v>198</v>
      </c>
      <c r="G19" s="14" t="s">
        <v>1224</v>
      </c>
      <c r="H19" s="10" t="s">
        <v>1280</v>
      </c>
    </row>
    <row r="20" spans="1:8" ht="25.2" hidden="1" customHeight="1" x14ac:dyDescent="0.3">
      <c r="A20" s="9" t="s">
        <v>1267</v>
      </c>
      <c r="B20" s="9" t="s">
        <v>1281</v>
      </c>
      <c r="C20" s="9" t="s">
        <v>1282</v>
      </c>
      <c r="D20" s="9">
        <v>769</v>
      </c>
      <c r="E20" s="9">
        <v>0</v>
      </c>
      <c r="F20" s="9">
        <v>0</v>
      </c>
      <c r="G20" s="14" t="s">
        <v>1224</v>
      </c>
      <c r="H20" s="10"/>
    </row>
    <row r="21" spans="1:8" ht="54.6" hidden="1" customHeight="1" x14ac:dyDescent="0.3">
      <c r="A21" s="9" t="s">
        <v>1263</v>
      </c>
      <c r="B21" s="9" t="s">
        <v>1283</v>
      </c>
      <c r="C21" s="9" t="s">
        <v>1284</v>
      </c>
      <c r="D21" s="9">
        <v>855</v>
      </c>
      <c r="E21" s="9">
        <v>5</v>
      </c>
      <c r="F21" s="9">
        <v>400.5</v>
      </c>
      <c r="G21" s="14" t="s">
        <v>1224</v>
      </c>
      <c r="H21" s="10" t="s">
        <v>1285</v>
      </c>
    </row>
    <row r="22" spans="1:8" ht="54.6" hidden="1" customHeight="1" x14ac:dyDescent="0.3">
      <c r="A22" s="9" t="s">
        <v>1237</v>
      </c>
      <c r="B22" s="9" t="s">
        <v>1254</v>
      </c>
      <c r="C22" s="9" t="s">
        <v>1286</v>
      </c>
      <c r="D22" s="9">
        <v>560</v>
      </c>
      <c r="E22" s="9">
        <v>10</v>
      </c>
      <c r="F22" s="9">
        <v>685.8</v>
      </c>
      <c r="G22" s="14" t="s">
        <v>1224</v>
      </c>
      <c r="H22" s="10" t="s">
        <v>1287</v>
      </c>
    </row>
    <row r="23" spans="1:8" ht="54.6" hidden="1" customHeight="1" x14ac:dyDescent="0.3">
      <c r="A23" s="9" t="s">
        <v>1237</v>
      </c>
      <c r="B23" s="9" t="s">
        <v>1288</v>
      </c>
      <c r="C23" s="9" t="s">
        <v>1289</v>
      </c>
      <c r="D23" s="9">
        <v>1609</v>
      </c>
      <c r="E23" s="9">
        <v>10</v>
      </c>
      <c r="F23" s="9">
        <v>903.6</v>
      </c>
      <c r="G23" s="14" t="s">
        <v>1224</v>
      </c>
      <c r="H23" s="10" t="s">
        <v>1290</v>
      </c>
    </row>
    <row r="24" spans="1:8" ht="54.6" hidden="1" customHeight="1" x14ac:dyDescent="0.3">
      <c r="A24" s="9" t="s">
        <v>1226</v>
      </c>
      <c r="B24" s="9" t="s">
        <v>1267</v>
      </c>
      <c r="C24" s="9" t="s">
        <v>1291</v>
      </c>
      <c r="D24" s="9">
        <v>417</v>
      </c>
      <c r="E24" s="9">
        <v>1</v>
      </c>
      <c r="F24" s="9">
        <v>78.3</v>
      </c>
      <c r="G24" s="14" t="s">
        <v>1224</v>
      </c>
      <c r="H24" s="10" t="s">
        <v>1262</v>
      </c>
    </row>
    <row r="25" spans="1:8" ht="54.6" hidden="1" customHeight="1" x14ac:dyDescent="0.3">
      <c r="A25" s="9" t="s">
        <v>1278</v>
      </c>
      <c r="B25" s="9" t="s">
        <v>1240</v>
      </c>
      <c r="C25" s="9" t="s">
        <v>1292</v>
      </c>
      <c r="D25" s="9">
        <v>626</v>
      </c>
      <c r="E25" s="9">
        <v>8</v>
      </c>
      <c r="F25" s="9">
        <v>216</v>
      </c>
      <c r="G25" s="14" t="s">
        <v>1224</v>
      </c>
      <c r="H25" s="10" t="s">
        <v>1293</v>
      </c>
    </row>
    <row r="26" spans="1:8" ht="54.6" hidden="1" customHeight="1" x14ac:dyDescent="0.3">
      <c r="A26" s="9" t="s">
        <v>1230</v>
      </c>
      <c r="B26" s="9" t="s">
        <v>1294</v>
      </c>
      <c r="C26" s="9" t="s">
        <v>1295</v>
      </c>
      <c r="D26" s="9">
        <v>220</v>
      </c>
      <c r="E26" s="9">
        <v>3</v>
      </c>
      <c r="F26" s="9">
        <v>159.30000000000001</v>
      </c>
      <c r="G26" s="14" t="s">
        <v>1224</v>
      </c>
      <c r="H26" s="10" t="s">
        <v>1296</v>
      </c>
    </row>
    <row r="27" spans="1:8" ht="54.6" hidden="1" customHeight="1" x14ac:dyDescent="0.3">
      <c r="A27" s="9" t="s">
        <v>1297</v>
      </c>
      <c r="B27" s="9" t="s">
        <v>1240</v>
      </c>
      <c r="C27" s="9" t="s">
        <v>1298</v>
      </c>
      <c r="D27" s="9">
        <v>569</v>
      </c>
      <c r="E27" s="9">
        <v>9</v>
      </c>
      <c r="F27" s="9">
        <v>411.3</v>
      </c>
      <c r="G27" s="14" t="s">
        <v>1224</v>
      </c>
      <c r="H27" s="10" t="s">
        <v>1299</v>
      </c>
    </row>
    <row r="28" spans="1:8" ht="54.6" hidden="1" customHeight="1" x14ac:dyDescent="0.3">
      <c r="A28" s="9" t="s">
        <v>1241</v>
      </c>
      <c r="B28" s="9" t="s">
        <v>1240</v>
      </c>
      <c r="C28" s="9" t="s">
        <v>1300</v>
      </c>
      <c r="D28" s="9">
        <v>1054</v>
      </c>
      <c r="E28" s="9">
        <v>17</v>
      </c>
      <c r="F28" s="9">
        <v>750.6</v>
      </c>
      <c r="G28" s="14" t="s">
        <v>1224</v>
      </c>
      <c r="H28" s="10" t="s">
        <v>1301</v>
      </c>
    </row>
    <row r="29" spans="1:8" ht="54.6" hidden="1" customHeight="1" x14ac:dyDescent="0.3">
      <c r="A29" s="9" t="s">
        <v>1237</v>
      </c>
      <c r="B29" s="9" t="s">
        <v>1270</v>
      </c>
      <c r="C29" s="9" t="s">
        <v>1302</v>
      </c>
      <c r="D29" s="9">
        <v>807</v>
      </c>
      <c r="E29" s="9">
        <v>13</v>
      </c>
      <c r="F29" s="9">
        <v>672.3</v>
      </c>
      <c r="G29" s="14" t="s">
        <v>1224</v>
      </c>
      <c r="H29" s="10" t="s">
        <v>1303</v>
      </c>
    </row>
    <row r="30" spans="1:8" ht="54.6" hidden="1" customHeight="1" x14ac:dyDescent="0.3">
      <c r="A30" s="9" t="s">
        <v>1237</v>
      </c>
      <c r="B30" s="9" t="s">
        <v>1304</v>
      </c>
      <c r="C30" s="9" t="s">
        <v>1305</v>
      </c>
      <c r="D30" s="9">
        <v>1024</v>
      </c>
      <c r="E30" s="9">
        <v>4</v>
      </c>
      <c r="F30" s="9">
        <v>486.9</v>
      </c>
      <c r="G30" s="14" t="s">
        <v>1224</v>
      </c>
      <c r="H30" s="10" t="s">
        <v>1306</v>
      </c>
    </row>
    <row r="31" spans="1:8" ht="54.6" hidden="1" customHeight="1" x14ac:dyDescent="0.3">
      <c r="A31" s="9" t="s">
        <v>1237</v>
      </c>
      <c r="B31" s="9" t="s">
        <v>1307</v>
      </c>
      <c r="C31" s="9" t="s">
        <v>1308</v>
      </c>
      <c r="D31" s="9">
        <v>551</v>
      </c>
      <c r="E31" s="9">
        <v>2</v>
      </c>
      <c r="F31" s="9">
        <v>306.89999999999998</v>
      </c>
      <c r="G31" s="14" t="s">
        <v>1224</v>
      </c>
      <c r="H31" s="10" t="s">
        <v>1309</v>
      </c>
    </row>
    <row r="32" spans="1:8" ht="54.6" hidden="1" customHeight="1" x14ac:dyDescent="0.3">
      <c r="A32" s="9" t="s">
        <v>1237</v>
      </c>
      <c r="B32" s="9" t="s">
        <v>1310</v>
      </c>
      <c r="C32" s="9" t="s">
        <v>1311</v>
      </c>
      <c r="D32" s="9">
        <v>771</v>
      </c>
      <c r="E32" s="9">
        <v>14</v>
      </c>
      <c r="F32" s="9">
        <v>915.3</v>
      </c>
      <c r="G32" s="14" t="s">
        <v>1224</v>
      </c>
      <c r="H32" s="10" t="s">
        <v>1312</v>
      </c>
    </row>
    <row r="33" spans="1:8" ht="54.6" hidden="1" customHeight="1" x14ac:dyDescent="0.3">
      <c r="A33" s="9" t="s">
        <v>1237</v>
      </c>
      <c r="B33" s="9" t="s">
        <v>1313</v>
      </c>
      <c r="C33" s="9" t="s">
        <v>1314</v>
      </c>
      <c r="D33" s="9">
        <v>523</v>
      </c>
      <c r="E33" s="9">
        <v>2</v>
      </c>
      <c r="F33" s="9">
        <v>281.7</v>
      </c>
      <c r="G33" s="14" t="s">
        <v>1224</v>
      </c>
      <c r="H33" s="10" t="s">
        <v>1315</v>
      </c>
    </row>
    <row r="34" spans="1:8" ht="54.6" hidden="1" customHeight="1" x14ac:dyDescent="0.3">
      <c r="A34" s="9" t="s">
        <v>1237</v>
      </c>
      <c r="B34" s="9" t="s">
        <v>1294</v>
      </c>
      <c r="C34" s="9" t="s">
        <v>1316</v>
      </c>
      <c r="D34" s="9">
        <v>1802</v>
      </c>
      <c r="E34" s="9">
        <v>13</v>
      </c>
      <c r="F34" s="9">
        <v>1062.9000000000001</v>
      </c>
      <c r="G34" s="14" t="s">
        <v>1224</v>
      </c>
      <c r="H34" s="10" t="s">
        <v>1317</v>
      </c>
    </row>
    <row r="35" spans="1:8" ht="54.6" hidden="1" customHeight="1" x14ac:dyDescent="0.3">
      <c r="A35" s="9" t="s">
        <v>1237</v>
      </c>
      <c r="B35" s="9" t="s">
        <v>1318</v>
      </c>
      <c r="C35" s="9" t="s">
        <v>1319</v>
      </c>
      <c r="D35" s="9">
        <v>2074</v>
      </c>
      <c r="E35" s="9">
        <v>15</v>
      </c>
      <c r="F35" s="9">
        <v>1182.5999999999999</v>
      </c>
      <c r="G35" s="14" t="s">
        <v>1224</v>
      </c>
      <c r="H35" s="10" t="s">
        <v>1320</v>
      </c>
    </row>
    <row r="36" spans="1:8" ht="54.6" hidden="1" customHeight="1" x14ac:dyDescent="0.3">
      <c r="A36" s="9" t="s">
        <v>1237</v>
      </c>
      <c r="B36" s="9" t="s">
        <v>1321</v>
      </c>
      <c r="C36" s="9" t="s">
        <v>1322</v>
      </c>
      <c r="D36" s="9">
        <v>2285</v>
      </c>
      <c r="E36" s="9">
        <v>24</v>
      </c>
      <c r="F36" s="9">
        <v>1503.9</v>
      </c>
      <c r="G36" s="14" t="s">
        <v>1224</v>
      </c>
      <c r="H36" s="10" t="s">
        <v>1323</v>
      </c>
    </row>
    <row r="37" spans="1:8" ht="54.6" hidden="1" customHeight="1" x14ac:dyDescent="0.3">
      <c r="A37" s="9" t="s">
        <v>1237</v>
      </c>
      <c r="B37" s="9" t="s">
        <v>1264</v>
      </c>
      <c r="C37" s="9" t="s">
        <v>1324</v>
      </c>
      <c r="D37" s="9">
        <v>1260</v>
      </c>
      <c r="E37" s="9">
        <v>7</v>
      </c>
      <c r="F37" s="9">
        <v>816.3</v>
      </c>
      <c r="G37" s="14" t="s">
        <v>1224</v>
      </c>
      <c r="H37" s="10" t="s">
        <v>1325</v>
      </c>
    </row>
    <row r="38" spans="1:8" ht="54.6" hidden="1" customHeight="1" x14ac:dyDescent="0.3">
      <c r="A38" s="9" t="s">
        <v>1237</v>
      </c>
      <c r="B38" s="9" t="s">
        <v>1283</v>
      </c>
      <c r="C38" s="9" t="s">
        <v>1326</v>
      </c>
      <c r="D38" s="9">
        <v>953</v>
      </c>
      <c r="E38" s="9">
        <v>6</v>
      </c>
      <c r="F38" s="9">
        <v>603.9</v>
      </c>
      <c r="G38" s="14" t="s">
        <v>1224</v>
      </c>
      <c r="H38" s="10" t="s">
        <v>1327</v>
      </c>
    </row>
    <row r="39" spans="1:8" ht="25.2" hidden="1" customHeight="1" x14ac:dyDescent="0.3">
      <c r="A39" s="9" t="s">
        <v>1278</v>
      </c>
      <c r="B39" s="9" t="s">
        <v>1328</v>
      </c>
      <c r="C39" s="9" t="s">
        <v>1329</v>
      </c>
      <c r="D39" s="9">
        <v>55</v>
      </c>
      <c r="E39" s="9">
        <v>0</v>
      </c>
      <c r="F39" s="9">
        <v>0</v>
      </c>
      <c r="G39" s="14" t="s">
        <v>1224</v>
      </c>
      <c r="H39" s="10"/>
    </row>
    <row r="40" spans="1:8" ht="54.6" hidden="1" customHeight="1" x14ac:dyDescent="0.3">
      <c r="A40" s="9" t="s">
        <v>1330</v>
      </c>
      <c r="B40" s="9" t="s">
        <v>1257</v>
      </c>
      <c r="C40" s="9" t="s">
        <v>1331</v>
      </c>
      <c r="D40" s="9">
        <v>634</v>
      </c>
      <c r="E40" s="9">
        <v>15</v>
      </c>
      <c r="F40" s="9">
        <v>1269.9000000000001</v>
      </c>
      <c r="G40" s="14" t="s">
        <v>1224</v>
      </c>
      <c r="H40" s="10" t="s">
        <v>1332</v>
      </c>
    </row>
    <row r="41" spans="1:8" ht="54.6" hidden="1" customHeight="1" x14ac:dyDescent="0.3">
      <c r="A41" s="9" t="s">
        <v>1241</v>
      </c>
      <c r="B41" s="9" t="s">
        <v>1333</v>
      </c>
      <c r="C41" s="9" t="s">
        <v>1334</v>
      </c>
      <c r="D41" s="9">
        <v>799</v>
      </c>
      <c r="E41" s="9">
        <v>12</v>
      </c>
      <c r="F41" s="9">
        <v>1124.0999999999999</v>
      </c>
      <c r="G41" s="14" t="s">
        <v>1224</v>
      </c>
      <c r="H41" s="10" t="s">
        <v>1335</v>
      </c>
    </row>
    <row r="42" spans="1:8" ht="54.6" hidden="1" customHeight="1" x14ac:dyDescent="0.3">
      <c r="A42" s="9" t="s">
        <v>1237</v>
      </c>
      <c r="B42" s="9" t="s">
        <v>1336</v>
      </c>
      <c r="C42" s="9" t="s">
        <v>1337</v>
      </c>
      <c r="D42" s="9">
        <v>450</v>
      </c>
      <c r="E42" s="9">
        <v>7</v>
      </c>
      <c r="F42" s="9">
        <v>424.8</v>
      </c>
      <c r="G42" s="14" t="s">
        <v>1224</v>
      </c>
      <c r="H42" s="10" t="s">
        <v>1338</v>
      </c>
    </row>
    <row r="43" spans="1:8" ht="25.2" hidden="1" customHeight="1" x14ac:dyDescent="0.3">
      <c r="A43" s="9" t="s">
        <v>1339</v>
      </c>
      <c r="B43" s="9" t="s">
        <v>1340</v>
      </c>
      <c r="C43" s="9" t="s">
        <v>1341</v>
      </c>
      <c r="D43" s="9">
        <v>327</v>
      </c>
      <c r="E43" s="9">
        <v>0</v>
      </c>
      <c r="F43" s="9">
        <v>0</v>
      </c>
      <c r="G43" s="14" t="s">
        <v>1224</v>
      </c>
      <c r="H43" s="10"/>
    </row>
    <row r="44" spans="1:8" ht="54.6" hidden="1" customHeight="1" x14ac:dyDescent="0.3">
      <c r="A44" s="9" t="s">
        <v>1226</v>
      </c>
      <c r="B44" s="9" t="s">
        <v>1268</v>
      </c>
      <c r="C44" s="9" t="s">
        <v>1342</v>
      </c>
      <c r="D44" s="9">
        <v>694</v>
      </c>
      <c r="E44" s="9">
        <v>1</v>
      </c>
      <c r="F44" s="9">
        <v>103.5</v>
      </c>
      <c r="G44" s="14" t="s">
        <v>1224</v>
      </c>
      <c r="H44" s="10" t="s">
        <v>1245</v>
      </c>
    </row>
    <row r="45" spans="1:8" ht="54.6" hidden="1" customHeight="1" x14ac:dyDescent="0.3">
      <c r="A45" s="9" t="s">
        <v>1339</v>
      </c>
      <c r="B45" s="9" t="s">
        <v>1247</v>
      </c>
      <c r="C45" s="9" t="s">
        <v>1343</v>
      </c>
      <c r="D45" s="9">
        <v>471</v>
      </c>
      <c r="E45" s="9">
        <v>10</v>
      </c>
      <c r="F45" s="9">
        <v>827.1</v>
      </c>
      <c r="G45" s="14" t="s">
        <v>1224</v>
      </c>
      <c r="H45" s="10" t="s">
        <v>1344</v>
      </c>
    </row>
    <row r="46" spans="1:8" ht="54.6" hidden="1" customHeight="1" x14ac:dyDescent="0.3">
      <c r="A46" s="9" t="s">
        <v>1233</v>
      </c>
      <c r="B46" s="9" t="s">
        <v>1226</v>
      </c>
      <c r="C46" s="9" t="s">
        <v>1345</v>
      </c>
      <c r="D46" s="9">
        <v>900</v>
      </c>
      <c r="E46" s="9">
        <v>6</v>
      </c>
      <c r="F46" s="9">
        <v>477</v>
      </c>
      <c r="G46" s="14" t="s">
        <v>1224</v>
      </c>
      <c r="H46" s="10" t="s">
        <v>1346</v>
      </c>
    </row>
    <row r="47" spans="1:8" ht="54.6" hidden="1" customHeight="1" x14ac:dyDescent="0.3">
      <c r="A47" s="9" t="s">
        <v>1237</v>
      </c>
      <c r="B47" s="9" t="s">
        <v>1347</v>
      </c>
      <c r="C47" s="9" t="s">
        <v>1348</v>
      </c>
      <c r="D47" s="9">
        <v>794</v>
      </c>
      <c r="E47" s="9">
        <v>12</v>
      </c>
      <c r="F47" s="9">
        <v>964.3</v>
      </c>
      <c r="G47" s="14" t="s">
        <v>1224</v>
      </c>
      <c r="H47" s="10" t="s">
        <v>1349</v>
      </c>
    </row>
    <row r="48" spans="1:8" ht="20.399999999999999" hidden="1" customHeight="1" x14ac:dyDescent="0.3">
      <c r="A48" s="9" t="s">
        <v>1350</v>
      </c>
      <c r="B48" s="9" t="s">
        <v>1351</v>
      </c>
      <c r="C48" s="9" t="s">
        <v>1352</v>
      </c>
      <c r="D48" s="9">
        <v>176</v>
      </c>
      <c r="E48" s="9">
        <v>0</v>
      </c>
      <c r="F48" s="9">
        <v>0</v>
      </c>
      <c r="G48" s="14" t="s">
        <v>1224</v>
      </c>
      <c r="H48" s="10"/>
    </row>
    <row r="49" spans="1:8" ht="54.6" hidden="1" customHeight="1" x14ac:dyDescent="0.3">
      <c r="A49" s="9" t="s">
        <v>1351</v>
      </c>
      <c r="B49" s="9" t="s">
        <v>1353</v>
      </c>
      <c r="C49" s="9" t="s">
        <v>1354</v>
      </c>
      <c r="D49" s="9">
        <v>1028</v>
      </c>
      <c r="E49" s="9">
        <v>3</v>
      </c>
      <c r="F49" s="9">
        <v>148.5</v>
      </c>
      <c r="G49" s="14" t="s">
        <v>1224</v>
      </c>
      <c r="H49" s="10" t="s">
        <v>1272</v>
      </c>
    </row>
    <row r="50" spans="1:8" ht="54.6" hidden="1" customHeight="1" x14ac:dyDescent="0.3">
      <c r="A50" s="9" t="s">
        <v>1237</v>
      </c>
      <c r="B50" s="9" t="s">
        <v>1294</v>
      </c>
      <c r="C50" s="9" t="s">
        <v>1316</v>
      </c>
      <c r="D50" s="9">
        <v>1805</v>
      </c>
      <c r="E50" s="9">
        <v>13</v>
      </c>
      <c r="F50" s="9">
        <v>1062.9000000000001</v>
      </c>
      <c r="G50" s="14" t="s">
        <v>1224</v>
      </c>
      <c r="H50" s="10" t="s">
        <v>1317</v>
      </c>
    </row>
    <row r="51" spans="1:8" ht="54.6" hidden="1" customHeight="1" x14ac:dyDescent="0.3">
      <c r="A51" s="9" t="s">
        <v>1237</v>
      </c>
      <c r="B51" s="9" t="s">
        <v>1318</v>
      </c>
      <c r="C51" s="9" t="s">
        <v>1319</v>
      </c>
      <c r="D51" s="9">
        <v>2079</v>
      </c>
      <c r="E51" s="9">
        <v>15</v>
      </c>
      <c r="F51" s="9">
        <v>1182.5999999999999</v>
      </c>
      <c r="G51" s="14" t="s">
        <v>1224</v>
      </c>
      <c r="H51" s="10" t="s">
        <v>1320</v>
      </c>
    </row>
    <row r="52" spans="1:8" ht="54.6" hidden="1" customHeight="1" x14ac:dyDescent="0.3">
      <c r="A52" s="9" t="s">
        <v>1294</v>
      </c>
      <c r="B52" s="9" t="s">
        <v>1264</v>
      </c>
      <c r="C52" s="9" t="s">
        <v>1355</v>
      </c>
      <c r="D52" s="9">
        <v>705</v>
      </c>
      <c r="E52" s="9">
        <v>3</v>
      </c>
      <c r="F52" s="9">
        <v>159.30000000000001</v>
      </c>
      <c r="G52" s="14" t="s">
        <v>1224</v>
      </c>
      <c r="H52" s="10" t="s">
        <v>1356</v>
      </c>
    </row>
    <row r="53" spans="1:8" ht="54.6" hidden="1" customHeight="1" x14ac:dyDescent="0.3">
      <c r="A53" s="9" t="s">
        <v>1241</v>
      </c>
      <c r="B53" s="9" t="s">
        <v>1357</v>
      </c>
      <c r="C53" s="9" t="s">
        <v>1358</v>
      </c>
      <c r="D53" s="9">
        <v>904</v>
      </c>
      <c r="E53" s="9">
        <v>15</v>
      </c>
      <c r="F53" s="9">
        <v>963</v>
      </c>
      <c r="G53" s="14" t="s">
        <v>1224</v>
      </c>
      <c r="H53" s="10" t="s">
        <v>1359</v>
      </c>
    </row>
    <row r="54" spans="1:8" ht="54.6" hidden="1" customHeight="1" x14ac:dyDescent="0.3">
      <c r="A54" s="9" t="s">
        <v>1237</v>
      </c>
      <c r="B54" s="9" t="s">
        <v>1321</v>
      </c>
      <c r="C54" s="9" t="s">
        <v>1322</v>
      </c>
      <c r="D54" s="9">
        <v>2290</v>
      </c>
      <c r="E54" s="9">
        <v>24</v>
      </c>
      <c r="F54" s="9">
        <v>1503.9</v>
      </c>
      <c r="G54" s="14" t="s">
        <v>1224</v>
      </c>
      <c r="H54" s="10" t="s">
        <v>1323</v>
      </c>
    </row>
    <row r="55" spans="1:8" ht="54.6" hidden="1" customHeight="1" x14ac:dyDescent="0.3">
      <c r="A55" s="9" t="s">
        <v>1350</v>
      </c>
      <c r="B55" s="9" t="s">
        <v>1226</v>
      </c>
      <c r="C55" s="9" t="s">
        <v>1360</v>
      </c>
      <c r="D55" s="9">
        <v>478</v>
      </c>
      <c r="E55" s="9">
        <v>1</v>
      </c>
      <c r="F55" s="9">
        <v>78.3</v>
      </c>
      <c r="G55" s="14" t="s">
        <v>1224</v>
      </c>
      <c r="H55" s="10" t="s">
        <v>1262</v>
      </c>
    </row>
    <row r="56" spans="1:8" ht="54.6" hidden="1" customHeight="1" x14ac:dyDescent="0.3">
      <c r="A56" s="9" t="s">
        <v>1226</v>
      </c>
      <c r="B56" s="9" t="s">
        <v>1336</v>
      </c>
      <c r="C56" s="9" t="s">
        <v>1361</v>
      </c>
      <c r="D56" s="9">
        <v>415</v>
      </c>
      <c r="E56" s="9">
        <v>6</v>
      </c>
      <c r="F56" s="9">
        <v>221.4</v>
      </c>
      <c r="G56" s="14" t="s">
        <v>1224</v>
      </c>
      <c r="H56" s="10" t="s">
        <v>1362</v>
      </c>
    </row>
    <row r="57" spans="1:8" ht="24" hidden="1" customHeight="1" x14ac:dyDescent="0.3">
      <c r="A57" s="9" t="s">
        <v>1363</v>
      </c>
      <c r="B57" s="9" t="s">
        <v>1351</v>
      </c>
      <c r="C57" s="9" t="s">
        <v>1364</v>
      </c>
      <c r="D57" s="9">
        <v>50</v>
      </c>
      <c r="E57" s="9">
        <v>0</v>
      </c>
      <c r="F57" s="9">
        <v>0</v>
      </c>
      <c r="G57" s="14" t="s">
        <v>1224</v>
      </c>
      <c r="H57" s="10"/>
    </row>
    <row r="58" spans="1:8" ht="54.6" hidden="1" customHeight="1" x14ac:dyDescent="0.3">
      <c r="A58" s="9" t="s">
        <v>1226</v>
      </c>
      <c r="B58" s="9" t="s">
        <v>1234</v>
      </c>
      <c r="C58" s="9" t="s">
        <v>1365</v>
      </c>
      <c r="D58" s="9">
        <v>529</v>
      </c>
      <c r="E58" s="9">
        <v>9</v>
      </c>
      <c r="F58" s="9">
        <v>482.4</v>
      </c>
      <c r="G58" s="14" t="s">
        <v>1224</v>
      </c>
      <c r="H58" s="10" t="s">
        <v>1366</v>
      </c>
    </row>
    <row r="59" spans="1:8" ht="54.6" hidden="1" customHeight="1" x14ac:dyDescent="0.3">
      <c r="A59" s="9" t="s">
        <v>1230</v>
      </c>
      <c r="B59" s="9" t="s">
        <v>1247</v>
      </c>
      <c r="C59" s="9" t="s">
        <v>1367</v>
      </c>
      <c r="D59" s="9">
        <v>1086</v>
      </c>
      <c r="E59" s="9">
        <v>12</v>
      </c>
      <c r="F59" s="9">
        <v>1378.3</v>
      </c>
      <c r="G59" s="14" t="s">
        <v>1224</v>
      </c>
      <c r="H59" s="10" t="s">
        <v>1368</v>
      </c>
    </row>
    <row r="60" spans="1:8" ht="54.6" hidden="1" customHeight="1" x14ac:dyDescent="0.3">
      <c r="A60" s="9" t="s">
        <v>1226</v>
      </c>
      <c r="B60" s="9" t="s">
        <v>1369</v>
      </c>
      <c r="C60" s="9" t="s">
        <v>1370</v>
      </c>
      <c r="D60" s="9">
        <v>488</v>
      </c>
      <c r="E60" s="9">
        <v>5</v>
      </c>
      <c r="F60" s="9">
        <v>378</v>
      </c>
      <c r="G60" s="14" t="s">
        <v>1224</v>
      </c>
      <c r="H60" s="10" t="s">
        <v>1371</v>
      </c>
    </row>
    <row r="61" spans="1:8" ht="54.6" hidden="1" customHeight="1" x14ac:dyDescent="0.3">
      <c r="A61" s="9" t="s">
        <v>1372</v>
      </c>
      <c r="B61" s="9" t="s">
        <v>1275</v>
      </c>
      <c r="C61" s="9" t="s">
        <v>1373</v>
      </c>
      <c r="D61" s="9">
        <v>597</v>
      </c>
      <c r="E61" s="9">
        <v>5</v>
      </c>
      <c r="F61" s="9">
        <v>321.3</v>
      </c>
      <c r="G61" s="14" t="s">
        <v>1224</v>
      </c>
      <c r="H61" s="10" t="s">
        <v>1374</v>
      </c>
    </row>
    <row r="62" spans="1:8" ht="54.6" hidden="1" customHeight="1" x14ac:dyDescent="0.3">
      <c r="A62" s="9" t="s">
        <v>1375</v>
      </c>
      <c r="B62" s="9" t="s">
        <v>1275</v>
      </c>
      <c r="C62" s="9" t="s">
        <v>1376</v>
      </c>
      <c r="D62" s="9">
        <v>1211</v>
      </c>
      <c r="E62" s="9">
        <v>6</v>
      </c>
      <c r="F62" s="9">
        <v>423.9</v>
      </c>
      <c r="G62" s="14" t="s">
        <v>1224</v>
      </c>
      <c r="H62" s="10" t="s">
        <v>1377</v>
      </c>
    </row>
    <row r="63" spans="1:8" ht="54.6" hidden="1" customHeight="1" x14ac:dyDescent="0.3">
      <c r="A63" s="9" t="s">
        <v>1230</v>
      </c>
      <c r="B63" s="9" t="s">
        <v>1378</v>
      </c>
      <c r="C63" s="9" t="s">
        <v>1379</v>
      </c>
      <c r="D63" s="9">
        <v>955</v>
      </c>
      <c r="E63" s="9">
        <v>8</v>
      </c>
      <c r="F63" s="9">
        <v>439.2</v>
      </c>
      <c r="G63" s="14" t="s">
        <v>1224</v>
      </c>
      <c r="H63" s="10" t="s">
        <v>1380</v>
      </c>
    </row>
    <row r="64" spans="1:8" ht="54.6" hidden="1" customHeight="1" x14ac:dyDescent="0.3">
      <c r="A64" s="9" t="s">
        <v>1226</v>
      </c>
      <c r="B64" s="9" t="s">
        <v>1381</v>
      </c>
      <c r="C64" s="9" t="s">
        <v>1382</v>
      </c>
      <c r="D64" s="9">
        <v>461</v>
      </c>
      <c r="E64" s="9">
        <v>7</v>
      </c>
      <c r="F64" s="9">
        <v>250.2</v>
      </c>
      <c r="G64" s="14" t="s">
        <v>1224</v>
      </c>
      <c r="H64" s="10" t="s">
        <v>1383</v>
      </c>
    </row>
    <row r="65" spans="1:8" ht="54.6" hidden="1" customHeight="1" x14ac:dyDescent="0.3">
      <c r="A65" s="9" t="s">
        <v>1294</v>
      </c>
      <c r="B65" s="9" t="s">
        <v>1304</v>
      </c>
      <c r="C65" s="9" t="s">
        <v>1384</v>
      </c>
      <c r="D65" s="9">
        <v>867</v>
      </c>
      <c r="E65" s="9">
        <v>9</v>
      </c>
      <c r="F65" s="9">
        <v>576</v>
      </c>
      <c r="G65" s="14" t="s">
        <v>1224</v>
      </c>
      <c r="H65" s="10" t="s">
        <v>1385</v>
      </c>
    </row>
    <row r="66" spans="1:8" ht="54.6" hidden="1" customHeight="1" x14ac:dyDescent="0.3">
      <c r="A66" s="9" t="s">
        <v>1226</v>
      </c>
      <c r="B66" s="9" t="s">
        <v>1254</v>
      </c>
      <c r="C66" s="9" t="s">
        <v>1386</v>
      </c>
      <c r="D66" s="9">
        <v>529</v>
      </c>
      <c r="E66" s="9">
        <v>9</v>
      </c>
      <c r="F66" s="9">
        <v>482.4</v>
      </c>
      <c r="G66" s="14" t="s">
        <v>1224</v>
      </c>
      <c r="H66" s="10" t="s">
        <v>1366</v>
      </c>
    </row>
    <row r="67" spans="1:8" ht="54.6" hidden="1" customHeight="1" x14ac:dyDescent="0.3">
      <c r="A67" s="9" t="s">
        <v>1226</v>
      </c>
      <c r="B67" s="9" t="s">
        <v>1281</v>
      </c>
      <c r="C67" s="9" t="s">
        <v>1387</v>
      </c>
      <c r="D67" s="9">
        <v>527</v>
      </c>
      <c r="E67" s="9">
        <v>1</v>
      </c>
      <c r="F67" s="9">
        <v>103.5</v>
      </c>
      <c r="G67" s="14" t="s">
        <v>1224</v>
      </c>
      <c r="H67" s="10" t="s">
        <v>1245</v>
      </c>
    </row>
    <row r="68" spans="1:8" ht="24.6" hidden="1" customHeight="1" x14ac:dyDescent="0.3">
      <c r="A68" s="9" t="s">
        <v>1233</v>
      </c>
      <c r="B68" s="9" t="s">
        <v>1267</v>
      </c>
      <c r="C68" s="9" t="s">
        <v>1388</v>
      </c>
      <c r="D68" s="9">
        <v>454</v>
      </c>
      <c r="E68" s="9">
        <v>0</v>
      </c>
      <c r="F68" s="9">
        <v>0</v>
      </c>
      <c r="G68" s="14" t="s">
        <v>1224</v>
      </c>
      <c r="H68" s="10"/>
    </row>
    <row r="69" spans="1:8" ht="54.6" hidden="1" customHeight="1" x14ac:dyDescent="0.3">
      <c r="A69" s="9" t="s">
        <v>1339</v>
      </c>
      <c r="B69" s="9" t="s">
        <v>1233</v>
      </c>
      <c r="C69" s="9" t="s">
        <v>1389</v>
      </c>
      <c r="D69" s="9">
        <v>462</v>
      </c>
      <c r="E69" s="9">
        <v>1</v>
      </c>
      <c r="F69" s="9">
        <v>77.400000000000006</v>
      </c>
      <c r="G69" s="14" t="s">
        <v>1224</v>
      </c>
      <c r="H69" s="10" t="s">
        <v>1390</v>
      </c>
    </row>
    <row r="70" spans="1:8" ht="54.6" hidden="1" customHeight="1" x14ac:dyDescent="0.3">
      <c r="A70" s="9" t="s">
        <v>1391</v>
      </c>
      <c r="B70" s="9" t="s">
        <v>1392</v>
      </c>
      <c r="C70" s="9" t="s">
        <v>1393</v>
      </c>
      <c r="D70" s="9">
        <v>1546</v>
      </c>
      <c r="E70" s="9">
        <v>24</v>
      </c>
      <c r="F70" s="9">
        <v>2662</v>
      </c>
      <c r="G70" s="14" t="s">
        <v>1224</v>
      </c>
      <c r="H70" s="10" t="s">
        <v>1394</v>
      </c>
    </row>
    <row r="71" spans="1:8" ht="54.6" hidden="1" customHeight="1" x14ac:dyDescent="0.3">
      <c r="A71" s="9" t="s">
        <v>1395</v>
      </c>
      <c r="B71" s="9" t="s">
        <v>1226</v>
      </c>
      <c r="C71" s="9" t="s">
        <v>1396</v>
      </c>
      <c r="D71" s="9">
        <v>554</v>
      </c>
      <c r="E71" s="9">
        <v>1</v>
      </c>
      <c r="F71" s="9">
        <v>78.3</v>
      </c>
      <c r="G71" s="14" t="s">
        <v>1224</v>
      </c>
      <c r="H71" s="10" t="s">
        <v>1262</v>
      </c>
    </row>
    <row r="72" spans="1:8" ht="54.6" hidden="1" customHeight="1" x14ac:dyDescent="0.3">
      <c r="A72" s="9" t="s">
        <v>1397</v>
      </c>
      <c r="B72" s="9" t="s">
        <v>1226</v>
      </c>
      <c r="C72" s="9" t="s">
        <v>1398</v>
      </c>
      <c r="D72" s="9">
        <v>501</v>
      </c>
      <c r="E72" s="9">
        <v>1</v>
      </c>
      <c r="F72" s="9">
        <v>78.3</v>
      </c>
      <c r="G72" s="14" t="s">
        <v>1224</v>
      </c>
      <c r="H72" s="10" t="s">
        <v>1262</v>
      </c>
    </row>
    <row r="73" spans="1:8" ht="21" hidden="1" customHeight="1" x14ac:dyDescent="0.3">
      <c r="A73" s="9" t="s">
        <v>1233</v>
      </c>
      <c r="B73" s="9" t="s">
        <v>1399</v>
      </c>
      <c r="C73" s="9" t="s">
        <v>1400</v>
      </c>
      <c r="D73" s="9">
        <v>496</v>
      </c>
      <c r="E73" s="9">
        <v>0</v>
      </c>
      <c r="F73" s="9">
        <v>0</v>
      </c>
      <c r="G73" s="14" t="s">
        <v>1224</v>
      </c>
      <c r="H73" s="10"/>
    </row>
    <row r="74" spans="1:8" ht="54.6" hidden="1" customHeight="1" x14ac:dyDescent="0.3">
      <c r="A74" s="9" t="s">
        <v>1233</v>
      </c>
      <c r="B74" s="9" t="s">
        <v>1401</v>
      </c>
      <c r="C74" s="9" t="s">
        <v>1402</v>
      </c>
      <c r="D74" s="9">
        <v>1035</v>
      </c>
      <c r="E74" s="9">
        <v>5</v>
      </c>
      <c r="F74" s="9">
        <v>360</v>
      </c>
      <c r="G74" s="14" t="s">
        <v>1224</v>
      </c>
      <c r="H74" s="10" t="s">
        <v>1403</v>
      </c>
    </row>
    <row r="75" spans="1:8" ht="54.6" hidden="1" customHeight="1" x14ac:dyDescent="0.3">
      <c r="A75" s="9" t="s">
        <v>1375</v>
      </c>
      <c r="B75" s="9" t="s">
        <v>1353</v>
      </c>
      <c r="C75" s="9" t="s">
        <v>1404</v>
      </c>
      <c r="D75" s="9">
        <v>1391</v>
      </c>
      <c r="E75" s="9">
        <v>7</v>
      </c>
      <c r="F75" s="9">
        <v>406.8</v>
      </c>
      <c r="G75" s="14" t="s">
        <v>1224</v>
      </c>
      <c r="H75" s="10" t="s">
        <v>1405</v>
      </c>
    </row>
    <row r="76" spans="1:8" ht="54.6" hidden="1" customHeight="1" x14ac:dyDescent="0.3">
      <c r="A76" s="9" t="s">
        <v>1233</v>
      </c>
      <c r="B76" s="9" t="s">
        <v>1353</v>
      </c>
      <c r="C76" s="9" t="s">
        <v>1406</v>
      </c>
      <c r="D76" s="9">
        <v>1209</v>
      </c>
      <c r="E76" s="9">
        <v>7</v>
      </c>
      <c r="F76" s="9">
        <v>406.8</v>
      </c>
      <c r="G76" s="14" t="s">
        <v>1224</v>
      </c>
      <c r="H76" s="10" t="s">
        <v>1405</v>
      </c>
    </row>
    <row r="77" spans="1:8" ht="54.6" hidden="1" customHeight="1" x14ac:dyDescent="0.3">
      <c r="A77" s="9" t="s">
        <v>1226</v>
      </c>
      <c r="B77" s="9" t="s">
        <v>1407</v>
      </c>
      <c r="C77" s="9" t="s">
        <v>1408</v>
      </c>
      <c r="D77" s="9">
        <v>512</v>
      </c>
      <c r="E77" s="9">
        <v>7</v>
      </c>
      <c r="F77" s="9">
        <v>549.20000000000005</v>
      </c>
      <c r="G77" s="14" t="s">
        <v>1224</v>
      </c>
      <c r="H77" s="10" t="s">
        <v>1409</v>
      </c>
    </row>
    <row r="78" spans="1:8" ht="54.6" hidden="1" customHeight="1" x14ac:dyDescent="0.3">
      <c r="A78" s="9" t="s">
        <v>1410</v>
      </c>
      <c r="B78" s="9" t="s">
        <v>1411</v>
      </c>
      <c r="C78" s="9" t="s">
        <v>1412</v>
      </c>
      <c r="D78" s="9">
        <v>404</v>
      </c>
      <c r="E78" s="9">
        <v>2</v>
      </c>
      <c r="F78" s="9">
        <v>153</v>
      </c>
      <c r="G78" s="14" t="s">
        <v>1224</v>
      </c>
      <c r="H78" s="10" t="s">
        <v>1413</v>
      </c>
    </row>
    <row r="79" spans="1:8" ht="22.2" hidden="1" customHeight="1" x14ac:dyDescent="0.3">
      <c r="A79" s="9" t="s">
        <v>1397</v>
      </c>
      <c r="B79" s="9" t="s">
        <v>1351</v>
      </c>
      <c r="C79" s="9" t="s">
        <v>1414</v>
      </c>
      <c r="D79" s="9">
        <v>146</v>
      </c>
      <c r="E79" s="9">
        <v>0</v>
      </c>
      <c r="F79" s="9">
        <v>0</v>
      </c>
      <c r="G79" s="14" t="s">
        <v>1224</v>
      </c>
      <c r="H79" s="10"/>
    </row>
    <row r="80" spans="1:8" ht="54.6" hidden="1" customHeight="1" x14ac:dyDescent="0.3">
      <c r="A80" s="9" t="s">
        <v>1313</v>
      </c>
      <c r="B80" s="9" t="s">
        <v>1247</v>
      </c>
      <c r="C80" s="9" t="s">
        <v>1415</v>
      </c>
      <c r="D80" s="9">
        <v>555</v>
      </c>
      <c r="E80" s="9">
        <v>7</v>
      </c>
      <c r="F80" s="9">
        <v>731.1</v>
      </c>
      <c r="G80" s="14" t="s">
        <v>1224</v>
      </c>
      <c r="H80" s="10" t="s">
        <v>1416</v>
      </c>
    </row>
    <row r="81" spans="1:8" ht="19.2" hidden="1" customHeight="1" x14ac:dyDescent="0.3">
      <c r="A81" s="9" t="s">
        <v>1260</v>
      </c>
      <c r="B81" s="9" t="s">
        <v>1417</v>
      </c>
      <c r="C81" s="9" t="s">
        <v>1418</v>
      </c>
      <c r="D81" s="9">
        <v>598</v>
      </c>
      <c r="E81" s="9">
        <v>0</v>
      </c>
      <c r="F81" s="9">
        <v>0</v>
      </c>
      <c r="G81" s="14" t="s">
        <v>1224</v>
      </c>
      <c r="H81" s="10"/>
    </row>
    <row r="82" spans="1:8" ht="54.6" hidden="1" customHeight="1" x14ac:dyDescent="0.3">
      <c r="A82" s="9" t="s">
        <v>1237</v>
      </c>
      <c r="B82" s="9" t="s">
        <v>1347</v>
      </c>
      <c r="C82" s="9" t="s">
        <v>1348</v>
      </c>
      <c r="D82" s="9">
        <v>794</v>
      </c>
      <c r="E82" s="9">
        <v>12</v>
      </c>
      <c r="F82" s="9">
        <v>964.3</v>
      </c>
      <c r="G82" s="14" t="s">
        <v>1224</v>
      </c>
      <c r="H82" s="10" t="s">
        <v>1349</v>
      </c>
    </row>
    <row r="83" spans="1:8" ht="54.6" hidden="1" customHeight="1" x14ac:dyDescent="0.3">
      <c r="A83" s="9" t="s">
        <v>1237</v>
      </c>
      <c r="B83" s="9" t="s">
        <v>1336</v>
      </c>
      <c r="C83" s="9" t="s">
        <v>1337</v>
      </c>
      <c r="D83" s="9">
        <v>456</v>
      </c>
      <c r="E83" s="9">
        <v>7</v>
      </c>
      <c r="F83" s="9">
        <v>424.8</v>
      </c>
      <c r="G83" s="14" t="s">
        <v>1224</v>
      </c>
      <c r="H83" s="10" t="s">
        <v>1338</v>
      </c>
    </row>
    <row r="84" spans="1:8" ht="54.6" hidden="1" customHeight="1" x14ac:dyDescent="0.3">
      <c r="A84" s="9" t="s">
        <v>1391</v>
      </c>
      <c r="B84" s="9" t="s">
        <v>1278</v>
      </c>
      <c r="C84" s="9" t="s">
        <v>1419</v>
      </c>
      <c r="D84" s="9">
        <v>1222</v>
      </c>
      <c r="E84" s="9">
        <v>20</v>
      </c>
      <c r="F84" s="9">
        <v>2318.1999999999998</v>
      </c>
      <c r="G84" s="14" t="s">
        <v>1224</v>
      </c>
      <c r="H84" s="10" t="s">
        <v>1420</v>
      </c>
    </row>
    <row r="85" spans="1:8" ht="54.6" hidden="1" customHeight="1" x14ac:dyDescent="0.3">
      <c r="A85" s="9" t="s">
        <v>1237</v>
      </c>
      <c r="B85" s="9" t="s">
        <v>1313</v>
      </c>
      <c r="C85" s="9" t="s">
        <v>1314</v>
      </c>
      <c r="D85" s="9">
        <v>529</v>
      </c>
      <c r="E85" s="9">
        <v>2</v>
      </c>
      <c r="F85" s="9">
        <v>281.7</v>
      </c>
      <c r="G85" s="14" t="s">
        <v>1224</v>
      </c>
      <c r="H85" s="10" t="s">
        <v>1315</v>
      </c>
    </row>
    <row r="86" spans="1:8" ht="54.6" hidden="1" customHeight="1" x14ac:dyDescent="0.3">
      <c r="A86" s="9" t="s">
        <v>1237</v>
      </c>
      <c r="B86" s="9" t="s">
        <v>1310</v>
      </c>
      <c r="C86" s="9" t="s">
        <v>1311</v>
      </c>
      <c r="D86" s="9">
        <v>777</v>
      </c>
      <c r="E86" s="9">
        <v>14</v>
      </c>
      <c r="F86" s="9">
        <v>915.3</v>
      </c>
      <c r="G86" s="14" t="s">
        <v>1224</v>
      </c>
      <c r="H86" s="10" t="s">
        <v>1312</v>
      </c>
    </row>
    <row r="87" spans="1:8" ht="54.6" hidden="1" customHeight="1" x14ac:dyDescent="0.3">
      <c r="A87" s="9" t="s">
        <v>1372</v>
      </c>
      <c r="B87" s="9" t="s">
        <v>1226</v>
      </c>
      <c r="C87" s="9" t="s">
        <v>1421</v>
      </c>
      <c r="D87" s="9">
        <v>377</v>
      </c>
      <c r="E87" s="9">
        <v>2</v>
      </c>
      <c r="F87" s="9">
        <v>180.9</v>
      </c>
      <c r="G87" s="14" t="s">
        <v>1224</v>
      </c>
      <c r="H87" s="10" t="s">
        <v>1422</v>
      </c>
    </row>
    <row r="88" spans="1:8" ht="54.6" hidden="1" customHeight="1" x14ac:dyDescent="0.3">
      <c r="A88" s="9" t="s">
        <v>1423</v>
      </c>
      <c r="B88" s="9" t="s">
        <v>1411</v>
      </c>
      <c r="C88" s="9" t="s">
        <v>1424</v>
      </c>
      <c r="D88" s="9">
        <v>274</v>
      </c>
      <c r="E88" s="9">
        <v>1</v>
      </c>
      <c r="F88" s="9">
        <v>76.5</v>
      </c>
      <c r="G88" s="14" t="s">
        <v>1224</v>
      </c>
      <c r="H88" s="10" t="s">
        <v>1425</v>
      </c>
    </row>
    <row r="89" spans="1:8" ht="54.6" hidden="1" customHeight="1" x14ac:dyDescent="0.3">
      <c r="A89" s="9" t="s">
        <v>1233</v>
      </c>
      <c r="B89" s="9" t="s">
        <v>1237</v>
      </c>
      <c r="C89" s="9" t="s">
        <v>1426</v>
      </c>
      <c r="D89" s="9">
        <v>1009</v>
      </c>
      <c r="E89" s="9">
        <v>7</v>
      </c>
      <c r="F89" s="9">
        <v>680.4</v>
      </c>
      <c r="G89" s="14" t="s">
        <v>1224</v>
      </c>
      <c r="H89" s="10" t="s">
        <v>1427</v>
      </c>
    </row>
    <row r="90" spans="1:8" ht="54.6" hidden="1" customHeight="1" x14ac:dyDescent="0.3">
      <c r="A90" s="9" t="s">
        <v>1411</v>
      </c>
      <c r="B90" s="9" t="s">
        <v>1226</v>
      </c>
      <c r="C90" s="9" t="s">
        <v>1428</v>
      </c>
      <c r="D90" s="9">
        <v>567</v>
      </c>
      <c r="E90" s="9">
        <v>3</v>
      </c>
      <c r="F90" s="9">
        <v>268.2</v>
      </c>
      <c r="G90" s="14" t="s">
        <v>1224</v>
      </c>
      <c r="H90" s="10" t="s">
        <v>1429</v>
      </c>
    </row>
    <row r="91" spans="1:8" ht="54.6" hidden="1" customHeight="1" x14ac:dyDescent="0.3">
      <c r="A91" s="9" t="s">
        <v>1237</v>
      </c>
      <c r="B91" s="9" t="s">
        <v>1430</v>
      </c>
      <c r="C91" s="9" t="s">
        <v>116</v>
      </c>
      <c r="D91" s="9">
        <v>800</v>
      </c>
      <c r="E91" s="9">
        <v>2</v>
      </c>
      <c r="F91" s="9">
        <v>306.89999999999998</v>
      </c>
      <c r="G91" s="14" t="s">
        <v>1224</v>
      </c>
      <c r="H91" s="10" t="s">
        <v>1309</v>
      </c>
    </row>
    <row r="92" spans="1:8" ht="54.6" hidden="1" customHeight="1" x14ac:dyDescent="0.3">
      <c r="A92" s="9" t="s">
        <v>1375</v>
      </c>
      <c r="B92" s="9" t="s">
        <v>1234</v>
      </c>
      <c r="C92" s="9" t="s">
        <v>1431</v>
      </c>
      <c r="D92" s="9">
        <v>1015</v>
      </c>
      <c r="E92" s="9">
        <v>13</v>
      </c>
      <c r="F92" s="9">
        <v>1489.5</v>
      </c>
      <c r="G92" s="14" t="s">
        <v>1224</v>
      </c>
      <c r="H92" s="10" t="s">
        <v>1432</v>
      </c>
    </row>
    <row r="93" spans="1:8" ht="54.6" hidden="1" customHeight="1" x14ac:dyDescent="0.3">
      <c r="A93" s="9" t="s">
        <v>1237</v>
      </c>
      <c r="B93" s="9" t="s">
        <v>1336</v>
      </c>
      <c r="C93" s="9" t="s">
        <v>1337</v>
      </c>
      <c r="D93" s="9">
        <v>456</v>
      </c>
      <c r="E93" s="9">
        <v>7</v>
      </c>
      <c r="F93" s="9">
        <v>424.8</v>
      </c>
      <c r="G93" s="14" t="s">
        <v>1224</v>
      </c>
      <c r="H93" s="10" t="s">
        <v>1338</v>
      </c>
    </row>
    <row r="94" spans="1:8" ht="54.6" hidden="1" customHeight="1" x14ac:dyDescent="0.3">
      <c r="A94" s="9" t="s">
        <v>1433</v>
      </c>
      <c r="B94" s="9" t="s">
        <v>1270</v>
      </c>
      <c r="C94" s="9" t="s">
        <v>1434</v>
      </c>
      <c r="D94" s="9">
        <v>1008</v>
      </c>
      <c r="E94" s="9">
        <v>4</v>
      </c>
      <c r="F94" s="9">
        <v>198</v>
      </c>
      <c r="G94" s="14" t="s">
        <v>1224</v>
      </c>
      <c r="H94" s="10" t="s">
        <v>1435</v>
      </c>
    </row>
    <row r="95" spans="1:8" ht="54.6" hidden="1" customHeight="1" x14ac:dyDescent="0.3">
      <c r="A95" s="9" t="s">
        <v>1288</v>
      </c>
      <c r="B95" s="9" t="s">
        <v>1234</v>
      </c>
      <c r="C95" s="9" t="s">
        <v>1436</v>
      </c>
      <c r="D95" s="9">
        <v>1192</v>
      </c>
      <c r="E95" s="9">
        <v>15</v>
      </c>
      <c r="F95" s="9">
        <v>1680.1</v>
      </c>
      <c r="G95" s="14" t="s">
        <v>1224</v>
      </c>
      <c r="H95" s="10" t="s">
        <v>1437</v>
      </c>
    </row>
    <row r="96" spans="1:8" ht="54.6" hidden="1" customHeight="1" x14ac:dyDescent="0.3">
      <c r="A96" s="9" t="s">
        <v>1278</v>
      </c>
      <c r="B96" s="9" t="s">
        <v>1438</v>
      </c>
      <c r="C96" s="9" t="s">
        <v>1439</v>
      </c>
      <c r="D96" s="9">
        <v>463</v>
      </c>
      <c r="E96" s="9">
        <v>9</v>
      </c>
      <c r="F96" s="9">
        <v>889.2</v>
      </c>
      <c r="G96" s="14" t="s">
        <v>1224</v>
      </c>
      <c r="H96" s="10" t="s">
        <v>1440</v>
      </c>
    </row>
    <row r="97" spans="1:8" ht="54.6" hidden="1" customHeight="1" x14ac:dyDescent="0.3">
      <c r="A97" s="9" t="s">
        <v>1278</v>
      </c>
      <c r="B97" s="9" t="s">
        <v>1441</v>
      </c>
      <c r="C97" s="9" t="s">
        <v>1442</v>
      </c>
      <c r="D97" s="9">
        <v>641</v>
      </c>
      <c r="E97" s="9">
        <v>13</v>
      </c>
      <c r="F97" s="9">
        <v>1280.7</v>
      </c>
      <c r="G97" s="14" t="s">
        <v>1224</v>
      </c>
      <c r="H97" s="10" t="s">
        <v>1443</v>
      </c>
    </row>
    <row r="98" spans="1:8" ht="24" hidden="1" customHeight="1" x14ac:dyDescent="0.3">
      <c r="A98" s="9" t="s">
        <v>1267</v>
      </c>
      <c r="B98" s="9" t="s">
        <v>1281</v>
      </c>
      <c r="C98" s="9" t="s">
        <v>1282</v>
      </c>
      <c r="D98" s="9">
        <v>755</v>
      </c>
      <c r="E98" s="9">
        <v>0</v>
      </c>
      <c r="F98" s="9">
        <v>0</v>
      </c>
      <c r="G98" s="14" t="s">
        <v>1224</v>
      </c>
      <c r="H98" s="10"/>
    </row>
    <row r="99" spans="1:8" ht="54.6" hidden="1" customHeight="1" x14ac:dyDescent="0.3">
      <c r="A99" s="9" t="s">
        <v>1230</v>
      </c>
      <c r="B99" s="9" t="s">
        <v>1444</v>
      </c>
      <c r="C99" s="9" t="s">
        <v>1445</v>
      </c>
      <c r="D99" s="9">
        <v>1322</v>
      </c>
      <c r="E99" s="9">
        <v>18</v>
      </c>
      <c r="F99" s="9">
        <v>1941.1</v>
      </c>
      <c r="G99" s="14" t="s">
        <v>1224</v>
      </c>
      <c r="H99" s="10" t="s">
        <v>1446</v>
      </c>
    </row>
    <row r="100" spans="1:8" ht="54.6" hidden="1" customHeight="1" x14ac:dyDescent="0.3">
      <c r="A100" s="9" t="s">
        <v>1234</v>
      </c>
      <c r="B100" s="9" t="s">
        <v>1381</v>
      </c>
      <c r="C100" s="9" t="s">
        <v>1447</v>
      </c>
      <c r="D100" s="9">
        <v>134</v>
      </c>
      <c r="E100" s="9">
        <v>2</v>
      </c>
      <c r="F100" s="9">
        <v>232.2</v>
      </c>
      <c r="G100" s="14" t="s">
        <v>1224</v>
      </c>
      <c r="H100" s="10" t="s">
        <v>1448</v>
      </c>
    </row>
    <row r="101" spans="1:8" ht="54.6" hidden="1" customHeight="1" x14ac:dyDescent="0.3">
      <c r="A101" s="9" t="s">
        <v>1336</v>
      </c>
      <c r="B101" s="9" t="s">
        <v>1449</v>
      </c>
      <c r="C101" s="9" t="s">
        <v>1450</v>
      </c>
      <c r="D101" s="9">
        <v>319</v>
      </c>
      <c r="E101" s="9">
        <v>7</v>
      </c>
      <c r="F101" s="9">
        <v>490.5</v>
      </c>
      <c r="G101" s="14" t="s">
        <v>1224</v>
      </c>
      <c r="H101" s="10" t="s">
        <v>1451</v>
      </c>
    </row>
    <row r="102" spans="1:8" ht="54.6" hidden="1" customHeight="1" x14ac:dyDescent="0.3">
      <c r="A102" s="9" t="s">
        <v>1381</v>
      </c>
      <c r="B102" s="9" t="s">
        <v>1452</v>
      </c>
      <c r="C102" s="9" t="s">
        <v>1453</v>
      </c>
      <c r="D102" s="9">
        <v>343</v>
      </c>
      <c r="E102" s="9">
        <v>8</v>
      </c>
      <c r="F102" s="9">
        <v>776.7</v>
      </c>
      <c r="G102" s="14" t="s">
        <v>1224</v>
      </c>
      <c r="H102" s="10" t="s">
        <v>1454</v>
      </c>
    </row>
    <row r="103" spans="1:8" ht="54.6" hidden="1" customHeight="1" x14ac:dyDescent="0.3">
      <c r="A103" s="9" t="s">
        <v>1455</v>
      </c>
      <c r="B103" s="9" t="s">
        <v>1381</v>
      </c>
      <c r="C103" s="9" t="s">
        <v>1456</v>
      </c>
      <c r="D103" s="9">
        <v>483</v>
      </c>
      <c r="E103" s="9">
        <v>10</v>
      </c>
      <c r="F103" s="9">
        <v>1048.8</v>
      </c>
      <c r="G103" s="14" t="s">
        <v>1224</v>
      </c>
      <c r="H103" s="10" t="s">
        <v>1457</v>
      </c>
    </row>
    <row r="104" spans="1:8" ht="54.6" hidden="1" customHeight="1" x14ac:dyDescent="0.3">
      <c r="A104" s="9" t="s">
        <v>1458</v>
      </c>
      <c r="B104" s="9" t="s">
        <v>1459</v>
      </c>
      <c r="C104" s="9" t="s">
        <v>1460</v>
      </c>
      <c r="D104" s="9">
        <v>744</v>
      </c>
      <c r="E104" s="9">
        <v>1</v>
      </c>
      <c r="F104" s="9">
        <v>115.7</v>
      </c>
      <c r="G104" s="14" t="s">
        <v>1224</v>
      </c>
      <c r="H104" s="10" t="s">
        <v>1461</v>
      </c>
    </row>
    <row r="105" spans="1:8" ht="54.6" hidden="1" customHeight="1" x14ac:dyDescent="0.3">
      <c r="A105" s="9" t="s">
        <v>1381</v>
      </c>
      <c r="B105" s="9" t="s">
        <v>1230</v>
      </c>
      <c r="C105" s="9" t="s">
        <v>1462</v>
      </c>
      <c r="D105" s="9">
        <v>1346</v>
      </c>
      <c r="E105" s="9">
        <v>17</v>
      </c>
      <c r="F105" s="9">
        <v>1912.3</v>
      </c>
      <c r="G105" s="14" t="s">
        <v>1224</v>
      </c>
      <c r="H105" s="10" t="s">
        <v>1463</v>
      </c>
    </row>
    <row r="106" spans="1:8" ht="24" hidden="1" customHeight="1" x14ac:dyDescent="0.3">
      <c r="A106" s="9" t="s">
        <v>1464</v>
      </c>
      <c r="B106" s="9" t="s">
        <v>1328</v>
      </c>
      <c r="C106" s="9" t="s">
        <v>1465</v>
      </c>
      <c r="D106" s="9">
        <v>26</v>
      </c>
      <c r="E106" s="9">
        <v>0</v>
      </c>
      <c r="F106" s="9">
        <v>0</v>
      </c>
      <c r="G106" s="14" t="s">
        <v>1224</v>
      </c>
      <c r="H106" s="10"/>
    </row>
    <row r="107" spans="1:8" ht="54.6" hidden="1" customHeight="1" x14ac:dyDescent="0.3">
      <c r="A107" s="9" t="s">
        <v>1466</v>
      </c>
      <c r="B107" s="9" t="s">
        <v>1401</v>
      </c>
      <c r="C107" s="9" t="s">
        <v>1467</v>
      </c>
      <c r="D107" s="9">
        <v>863</v>
      </c>
      <c r="E107" s="9">
        <v>6</v>
      </c>
      <c r="F107" s="9">
        <v>562.5</v>
      </c>
      <c r="G107" s="14" t="s">
        <v>1224</v>
      </c>
      <c r="H107" s="10" t="s">
        <v>1468</v>
      </c>
    </row>
    <row r="108" spans="1:8" ht="54.6" hidden="1" customHeight="1" x14ac:dyDescent="0.3">
      <c r="A108" s="9" t="s">
        <v>1234</v>
      </c>
      <c r="B108" s="9" t="s">
        <v>1441</v>
      </c>
      <c r="C108" s="9" t="s">
        <v>1469</v>
      </c>
      <c r="D108" s="9">
        <v>563</v>
      </c>
      <c r="E108" s="9">
        <v>11</v>
      </c>
      <c r="F108" s="9">
        <v>1284.3</v>
      </c>
      <c r="G108" s="14" t="s">
        <v>1224</v>
      </c>
      <c r="H108" s="10" t="s">
        <v>1470</v>
      </c>
    </row>
    <row r="109" spans="1:8" ht="54.6" hidden="1" customHeight="1" x14ac:dyDescent="0.3">
      <c r="A109" s="9" t="s">
        <v>1444</v>
      </c>
      <c r="B109" s="9" t="s">
        <v>1264</v>
      </c>
      <c r="C109" s="9" t="s">
        <v>1471</v>
      </c>
      <c r="D109" s="9">
        <v>898</v>
      </c>
      <c r="E109" s="9">
        <v>10</v>
      </c>
      <c r="F109" s="9">
        <v>1007.8</v>
      </c>
      <c r="G109" s="14" t="s">
        <v>1224</v>
      </c>
      <c r="H109" s="10" t="s">
        <v>1472</v>
      </c>
    </row>
    <row r="110" spans="1:8" ht="54.6" hidden="1" customHeight="1" x14ac:dyDescent="0.3">
      <c r="A110" s="9" t="s">
        <v>1336</v>
      </c>
      <c r="B110" s="9" t="s">
        <v>1473</v>
      </c>
      <c r="C110" s="9" t="s">
        <v>1474</v>
      </c>
      <c r="D110" s="9">
        <v>658</v>
      </c>
      <c r="E110" s="9">
        <v>11</v>
      </c>
      <c r="F110" s="9">
        <v>821.7</v>
      </c>
      <c r="G110" s="14" t="s">
        <v>1224</v>
      </c>
      <c r="H110" s="10" t="s">
        <v>1475</v>
      </c>
    </row>
    <row r="111" spans="1:8" ht="54.6" hidden="1" customHeight="1" x14ac:dyDescent="0.3">
      <c r="A111" s="9" t="s">
        <v>1254</v>
      </c>
      <c r="B111" s="9" t="s">
        <v>1226</v>
      </c>
      <c r="C111" s="9" t="s">
        <v>1476</v>
      </c>
      <c r="D111" s="9">
        <v>530</v>
      </c>
      <c r="E111" s="9">
        <v>9</v>
      </c>
      <c r="F111" s="9">
        <v>482.4</v>
      </c>
      <c r="G111" s="14" t="s">
        <v>1224</v>
      </c>
      <c r="H111" s="10" t="s">
        <v>1477</v>
      </c>
    </row>
    <row r="112" spans="1:8" ht="54.6" hidden="1" customHeight="1" x14ac:dyDescent="0.3">
      <c r="A112" s="9" t="s">
        <v>1458</v>
      </c>
      <c r="B112" s="9" t="s">
        <v>1411</v>
      </c>
      <c r="C112" s="9" t="s">
        <v>1478</v>
      </c>
      <c r="D112" s="9">
        <v>371</v>
      </c>
      <c r="E112" s="9">
        <v>1</v>
      </c>
      <c r="F112" s="9">
        <v>115.7</v>
      </c>
      <c r="G112" s="14" t="s">
        <v>1224</v>
      </c>
      <c r="H112" s="10" t="s">
        <v>1461</v>
      </c>
    </row>
    <row r="113" spans="1:8" ht="54.6" hidden="1" customHeight="1" x14ac:dyDescent="0.3">
      <c r="A113" s="9" t="s">
        <v>1222</v>
      </c>
      <c r="B113" s="9" t="s">
        <v>1444</v>
      </c>
      <c r="C113" s="9" t="s">
        <v>1479</v>
      </c>
      <c r="D113" s="9">
        <v>102</v>
      </c>
      <c r="E113" s="9">
        <v>2</v>
      </c>
      <c r="F113" s="9">
        <v>74.7</v>
      </c>
      <c r="G113" s="14" t="s">
        <v>1224</v>
      </c>
      <c r="H113" s="10" t="s">
        <v>1480</v>
      </c>
    </row>
    <row r="114" spans="1:8" ht="54.6" hidden="1" customHeight="1" x14ac:dyDescent="0.3">
      <c r="A114" s="9" t="s">
        <v>1234</v>
      </c>
      <c r="B114" s="9" t="s">
        <v>1481</v>
      </c>
      <c r="C114" s="9" t="s">
        <v>1482</v>
      </c>
      <c r="D114" s="9">
        <v>440</v>
      </c>
      <c r="E114" s="9">
        <v>8</v>
      </c>
      <c r="F114" s="9">
        <v>997.2</v>
      </c>
      <c r="G114" s="14" t="s">
        <v>1224</v>
      </c>
      <c r="H114" s="10" t="s">
        <v>1483</v>
      </c>
    </row>
    <row r="115" spans="1:8" ht="54.6" hidden="1" customHeight="1" x14ac:dyDescent="0.3">
      <c r="A115" s="9" t="s">
        <v>1234</v>
      </c>
      <c r="B115" s="9" t="s">
        <v>1247</v>
      </c>
      <c r="C115" s="9" t="s">
        <v>1484</v>
      </c>
      <c r="D115" s="9">
        <v>214</v>
      </c>
      <c r="E115" s="9">
        <v>6</v>
      </c>
      <c r="F115" s="9">
        <v>552.5</v>
      </c>
      <c r="G115" s="14" t="s">
        <v>1224</v>
      </c>
      <c r="H115" s="10" t="s">
        <v>1485</v>
      </c>
    </row>
    <row r="116" spans="1:8" ht="54.6" hidden="1" customHeight="1" x14ac:dyDescent="0.3">
      <c r="A116" s="9" t="s">
        <v>1486</v>
      </c>
      <c r="B116" s="9" t="s">
        <v>1234</v>
      </c>
      <c r="C116" s="9" t="s">
        <v>1487</v>
      </c>
      <c r="D116" s="9">
        <v>63</v>
      </c>
      <c r="E116" s="9">
        <v>1</v>
      </c>
      <c r="F116" s="9">
        <v>102.6</v>
      </c>
      <c r="G116" s="14" t="s">
        <v>1224</v>
      </c>
      <c r="H116" s="10" t="s">
        <v>1488</v>
      </c>
    </row>
    <row r="117" spans="1:8" ht="54.6" hidden="1" customHeight="1" x14ac:dyDescent="0.3">
      <c r="A117" s="9" t="s">
        <v>1489</v>
      </c>
      <c r="B117" s="9" t="s">
        <v>1464</v>
      </c>
      <c r="C117" s="9" t="s">
        <v>1490</v>
      </c>
      <c r="D117" s="9">
        <v>232</v>
      </c>
      <c r="E117" s="9">
        <v>5</v>
      </c>
      <c r="F117" s="9">
        <v>508.5</v>
      </c>
      <c r="G117" s="14" t="s">
        <v>1224</v>
      </c>
      <c r="H117" s="10" t="s">
        <v>1491</v>
      </c>
    </row>
    <row r="118" spans="1:8" ht="24" hidden="1" customHeight="1" x14ac:dyDescent="0.3">
      <c r="A118" s="9" t="s">
        <v>1492</v>
      </c>
      <c r="B118" s="9" t="s">
        <v>1275</v>
      </c>
      <c r="C118" s="9" t="s">
        <v>134</v>
      </c>
      <c r="D118" s="9">
        <v>560</v>
      </c>
      <c r="E118" s="9">
        <v>0</v>
      </c>
      <c r="F118" s="9">
        <v>0</v>
      </c>
      <c r="G118" s="14" t="s">
        <v>1224</v>
      </c>
      <c r="H118" s="10"/>
    </row>
    <row r="119" spans="1:8" ht="54.6" hidden="1" customHeight="1" x14ac:dyDescent="0.3">
      <c r="A119" s="9" t="s">
        <v>1307</v>
      </c>
      <c r="B119" s="9" t="s">
        <v>1234</v>
      </c>
      <c r="C119" s="9" t="s">
        <v>1493</v>
      </c>
      <c r="D119" s="9">
        <v>968</v>
      </c>
      <c r="E119" s="9">
        <v>10</v>
      </c>
      <c r="F119" s="9">
        <v>964.8</v>
      </c>
      <c r="G119" s="14" t="s">
        <v>1224</v>
      </c>
      <c r="H119" s="10" t="s">
        <v>1494</v>
      </c>
    </row>
    <row r="120" spans="1:8" ht="54.6" hidden="1" customHeight="1" x14ac:dyDescent="0.3">
      <c r="A120" s="9" t="s">
        <v>1430</v>
      </c>
      <c r="B120" s="9" t="s">
        <v>1226</v>
      </c>
      <c r="C120" s="9" t="s">
        <v>1495</v>
      </c>
      <c r="D120" s="9">
        <v>691</v>
      </c>
      <c r="E120" s="9">
        <v>2</v>
      </c>
      <c r="F120" s="9">
        <v>147.6</v>
      </c>
      <c r="G120" s="14" t="s">
        <v>1224</v>
      </c>
      <c r="H120" s="10" t="s">
        <v>1496</v>
      </c>
    </row>
    <row r="121" spans="1:8" ht="24" hidden="1" customHeight="1" x14ac:dyDescent="0.3">
      <c r="A121" s="9" t="s">
        <v>1430</v>
      </c>
      <c r="B121" s="9" t="s">
        <v>1268</v>
      </c>
      <c r="C121" s="9" t="s">
        <v>1497</v>
      </c>
      <c r="D121" s="9">
        <v>46</v>
      </c>
      <c r="E121" s="9">
        <v>0</v>
      </c>
      <c r="F121" s="9">
        <v>0</v>
      </c>
      <c r="G121" s="14" t="s">
        <v>1224</v>
      </c>
      <c r="H121" s="10"/>
    </row>
    <row r="122" spans="1:8" ht="54.6" hidden="1" customHeight="1" x14ac:dyDescent="0.3">
      <c r="A122" s="9" t="s">
        <v>1430</v>
      </c>
      <c r="B122" s="9" t="s">
        <v>1234</v>
      </c>
      <c r="C122" s="9" t="s">
        <v>124</v>
      </c>
      <c r="D122" s="9">
        <v>1212</v>
      </c>
      <c r="E122" s="9">
        <v>11</v>
      </c>
      <c r="F122" s="9">
        <v>1008.9</v>
      </c>
      <c r="G122" s="14" t="s">
        <v>1224</v>
      </c>
      <c r="H122" s="10" t="s">
        <v>1498</v>
      </c>
    </row>
    <row r="123" spans="1:8" ht="24" hidden="1" customHeight="1" x14ac:dyDescent="0.3">
      <c r="A123" s="9" t="s">
        <v>1369</v>
      </c>
      <c r="B123" s="9" t="s">
        <v>1499</v>
      </c>
      <c r="C123" s="9" t="s">
        <v>1500</v>
      </c>
      <c r="D123" s="9">
        <v>411</v>
      </c>
      <c r="E123" s="9">
        <v>0</v>
      </c>
      <c r="F123" s="9">
        <v>0</v>
      </c>
      <c r="G123" s="14" t="s">
        <v>1224</v>
      </c>
      <c r="H123" s="10"/>
    </row>
    <row r="124" spans="1:8" ht="54.6" hidden="1" customHeight="1" x14ac:dyDescent="0.3">
      <c r="A124" s="9" t="s">
        <v>1430</v>
      </c>
      <c r="B124" s="9" t="s">
        <v>1257</v>
      </c>
      <c r="C124" s="9" t="s">
        <v>1501</v>
      </c>
      <c r="D124" s="9">
        <v>1226</v>
      </c>
      <c r="E124" s="9">
        <v>12</v>
      </c>
      <c r="F124" s="9">
        <v>548.1</v>
      </c>
      <c r="G124" s="14" t="s">
        <v>1224</v>
      </c>
      <c r="H124" s="10" t="s">
        <v>1502</v>
      </c>
    </row>
    <row r="125" spans="1:8" ht="54.6" hidden="1" customHeight="1" x14ac:dyDescent="0.3">
      <c r="A125" s="9" t="s">
        <v>1430</v>
      </c>
      <c r="B125" s="9" t="s">
        <v>1499</v>
      </c>
      <c r="C125" s="9" t="s">
        <v>1503</v>
      </c>
      <c r="D125" s="9">
        <v>739</v>
      </c>
      <c r="E125" s="9">
        <v>1</v>
      </c>
      <c r="F125" s="9">
        <v>44.1</v>
      </c>
      <c r="G125" s="14" t="s">
        <v>1224</v>
      </c>
      <c r="H125" s="10" t="s">
        <v>1504</v>
      </c>
    </row>
    <row r="126" spans="1:8" ht="24" hidden="1" customHeight="1" x14ac:dyDescent="0.3">
      <c r="A126" s="9" t="s">
        <v>1430</v>
      </c>
      <c r="B126" s="9" t="s">
        <v>1273</v>
      </c>
      <c r="C126" s="9" t="s">
        <v>1505</v>
      </c>
      <c r="D126" s="9">
        <v>177</v>
      </c>
      <c r="E126" s="9">
        <v>0</v>
      </c>
      <c r="F126" s="9">
        <v>0</v>
      </c>
      <c r="G126" s="14" t="s">
        <v>1224</v>
      </c>
      <c r="H126" s="10"/>
    </row>
    <row r="127" spans="1:8" ht="54.6" hidden="1" customHeight="1" x14ac:dyDescent="0.3">
      <c r="A127" s="9" t="s">
        <v>1430</v>
      </c>
      <c r="B127" s="9" t="s">
        <v>1340</v>
      </c>
      <c r="C127" s="9" t="s">
        <v>1506</v>
      </c>
      <c r="D127" s="9">
        <v>1181</v>
      </c>
      <c r="E127" s="9">
        <v>5</v>
      </c>
      <c r="F127" s="9">
        <v>370.8</v>
      </c>
      <c r="G127" s="14" t="s">
        <v>1224</v>
      </c>
      <c r="H127" s="10" t="s">
        <v>1507</v>
      </c>
    </row>
    <row r="128" spans="1:8" ht="22.95" hidden="1" customHeight="1" x14ac:dyDescent="0.3">
      <c r="A128" s="9" t="s">
        <v>1430</v>
      </c>
      <c r="B128" s="9" t="s">
        <v>1459</v>
      </c>
      <c r="C128" s="9" t="s">
        <v>129</v>
      </c>
      <c r="D128" s="9">
        <v>279</v>
      </c>
      <c r="E128" s="9">
        <v>0</v>
      </c>
      <c r="F128" s="9">
        <v>0</v>
      </c>
      <c r="G128" s="14" t="s">
        <v>1224</v>
      </c>
      <c r="H128" s="10"/>
    </row>
    <row r="129" spans="1:8" ht="54.6" hidden="1" customHeight="1" x14ac:dyDescent="0.3">
      <c r="A129" s="9" t="s">
        <v>1369</v>
      </c>
      <c r="B129" s="9" t="s">
        <v>1353</v>
      </c>
      <c r="C129" s="9" t="s">
        <v>1508</v>
      </c>
      <c r="D129" s="9">
        <v>252</v>
      </c>
      <c r="E129" s="9">
        <v>4</v>
      </c>
      <c r="F129" s="9">
        <v>382.5</v>
      </c>
      <c r="G129" s="14" t="s">
        <v>1224</v>
      </c>
      <c r="H129" s="10" t="s">
        <v>1509</v>
      </c>
    </row>
    <row r="130" spans="1:8" ht="54.6" hidden="1" customHeight="1" x14ac:dyDescent="0.3">
      <c r="A130" s="9" t="s">
        <v>1307</v>
      </c>
      <c r="B130" s="9" t="s">
        <v>1226</v>
      </c>
      <c r="C130" s="9" t="s">
        <v>1510</v>
      </c>
      <c r="D130" s="9">
        <v>447</v>
      </c>
      <c r="E130" s="9">
        <v>1</v>
      </c>
      <c r="F130" s="9">
        <v>103.5</v>
      </c>
      <c r="G130" s="14" t="s">
        <v>1224</v>
      </c>
      <c r="H130" s="10" t="s">
        <v>1245</v>
      </c>
    </row>
    <row r="131" spans="1:8" ht="54.6" hidden="1" customHeight="1" x14ac:dyDescent="0.3">
      <c r="A131" s="9" t="s">
        <v>1369</v>
      </c>
      <c r="B131" s="9" t="s">
        <v>1226</v>
      </c>
      <c r="C131" s="9" t="s">
        <v>118</v>
      </c>
      <c r="D131" s="9">
        <v>495</v>
      </c>
      <c r="E131" s="9">
        <v>5</v>
      </c>
      <c r="F131" s="9">
        <v>378</v>
      </c>
      <c r="G131" s="14" t="s">
        <v>1224</v>
      </c>
      <c r="H131" s="10" t="s">
        <v>1511</v>
      </c>
    </row>
    <row r="132" spans="1:8" ht="54.6" hidden="1" customHeight="1" x14ac:dyDescent="0.3">
      <c r="A132" s="9" t="s">
        <v>1369</v>
      </c>
      <c r="B132" s="9" t="s">
        <v>1234</v>
      </c>
      <c r="C132" s="9" t="s">
        <v>1512</v>
      </c>
      <c r="D132" s="9">
        <v>1002</v>
      </c>
      <c r="E132" s="9">
        <v>14</v>
      </c>
      <c r="F132" s="9">
        <v>860.4</v>
      </c>
      <c r="G132" s="14" t="s">
        <v>1224</v>
      </c>
      <c r="H132" s="10" t="s">
        <v>1513</v>
      </c>
    </row>
    <row r="133" spans="1:8" ht="54.6" hidden="1" customHeight="1" x14ac:dyDescent="0.3">
      <c r="A133" s="9" t="s">
        <v>1514</v>
      </c>
      <c r="B133" s="9" t="s">
        <v>1234</v>
      </c>
      <c r="C133" s="9" t="s">
        <v>1515</v>
      </c>
      <c r="D133" s="9">
        <v>1072</v>
      </c>
      <c r="E133" s="9">
        <v>15</v>
      </c>
      <c r="F133" s="9">
        <v>942.3</v>
      </c>
      <c r="G133" s="14" t="s">
        <v>1224</v>
      </c>
      <c r="H133" s="10" t="s">
        <v>1516</v>
      </c>
    </row>
    <row r="134" spans="1:8" ht="54.6" hidden="1" customHeight="1" x14ac:dyDescent="0.3">
      <c r="A134" s="9" t="s">
        <v>1492</v>
      </c>
      <c r="B134" s="9" t="s">
        <v>1234</v>
      </c>
      <c r="C134" s="9" t="s">
        <v>1517</v>
      </c>
      <c r="D134" s="9">
        <v>1094</v>
      </c>
      <c r="E134" s="9">
        <v>11</v>
      </c>
      <c r="F134" s="9">
        <v>1008.9</v>
      </c>
      <c r="G134" s="14" t="s">
        <v>1224</v>
      </c>
      <c r="H134" s="10" t="s">
        <v>1498</v>
      </c>
    </row>
    <row r="135" spans="1:8" ht="54.6" hidden="1" customHeight="1" x14ac:dyDescent="0.3">
      <c r="A135" s="9" t="s">
        <v>1270</v>
      </c>
      <c r="B135" s="9" t="s">
        <v>1268</v>
      </c>
      <c r="C135" s="9" t="s">
        <v>1518</v>
      </c>
      <c r="D135" s="9">
        <v>336</v>
      </c>
      <c r="E135" s="9">
        <v>3</v>
      </c>
      <c r="F135" s="9">
        <v>148.5</v>
      </c>
      <c r="G135" s="14" t="s">
        <v>1224</v>
      </c>
      <c r="H135" s="10" t="s">
        <v>1519</v>
      </c>
    </row>
    <row r="136" spans="1:8" ht="54.6" hidden="1" customHeight="1" x14ac:dyDescent="0.3">
      <c r="A136" s="9" t="s">
        <v>1492</v>
      </c>
      <c r="B136" s="9" t="s">
        <v>1226</v>
      </c>
      <c r="C136" s="9" t="s">
        <v>1520</v>
      </c>
      <c r="D136" s="9">
        <v>573</v>
      </c>
      <c r="E136" s="9">
        <v>2</v>
      </c>
      <c r="F136" s="9">
        <v>147.6</v>
      </c>
      <c r="G136" s="14" t="s">
        <v>1224</v>
      </c>
      <c r="H136" s="10" t="s">
        <v>1496</v>
      </c>
    </row>
    <row r="137" spans="1:8" ht="54.6" hidden="1" customHeight="1" x14ac:dyDescent="0.3">
      <c r="A137" s="9" t="s">
        <v>1270</v>
      </c>
      <c r="B137" s="9" t="s">
        <v>1226</v>
      </c>
      <c r="C137" s="9" t="s">
        <v>1521</v>
      </c>
      <c r="D137" s="9">
        <v>753</v>
      </c>
      <c r="E137" s="9">
        <v>12</v>
      </c>
      <c r="F137" s="9">
        <v>468.9</v>
      </c>
      <c r="G137" s="14" t="s">
        <v>1224</v>
      </c>
      <c r="H137" s="10" t="s">
        <v>1522</v>
      </c>
    </row>
    <row r="138" spans="1:8" ht="54.6" hidden="1" customHeight="1" x14ac:dyDescent="0.3">
      <c r="A138" s="9" t="s">
        <v>1492</v>
      </c>
      <c r="B138" s="9" t="s">
        <v>1523</v>
      </c>
      <c r="C138" s="9" t="s">
        <v>1524</v>
      </c>
      <c r="D138" s="9">
        <v>549</v>
      </c>
      <c r="E138" s="9">
        <v>2</v>
      </c>
      <c r="F138" s="9">
        <v>469.4</v>
      </c>
      <c r="G138" s="14" t="s">
        <v>1224</v>
      </c>
      <c r="H138" s="10" t="s">
        <v>1525</v>
      </c>
    </row>
    <row r="139" spans="1:8" ht="54.6" hidden="1" customHeight="1" x14ac:dyDescent="0.3">
      <c r="A139" s="9" t="s">
        <v>1270</v>
      </c>
      <c r="B139" s="9" t="s">
        <v>1281</v>
      </c>
      <c r="C139" s="9" t="s">
        <v>1526</v>
      </c>
      <c r="D139" s="9">
        <v>278</v>
      </c>
      <c r="E139" s="9">
        <v>3</v>
      </c>
      <c r="F139" s="9">
        <v>148.5</v>
      </c>
      <c r="G139" s="14" t="s">
        <v>1224</v>
      </c>
      <c r="H139" s="10" t="s">
        <v>1519</v>
      </c>
    </row>
    <row r="140" spans="1:8" ht="54.6" hidden="1" customHeight="1" x14ac:dyDescent="0.3">
      <c r="A140" s="9" t="s">
        <v>1430</v>
      </c>
      <c r="B140" s="9" t="s">
        <v>1275</v>
      </c>
      <c r="C140" s="9" t="s">
        <v>1527</v>
      </c>
      <c r="D140" s="9">
        <v>688</v>
      </c>
      <c r="E140" s="9">
        <v>1</v>
      </c>
      <c r="F140" s="9">
        <v>44.1</v>
      </c>
      <c r="G140" s="14" t="s">
        <v>1224</v>
      </c>
      <c r="H140" s="10" t="s">
        <v>1504</v>
      </c>
    </row>
    <row r="141" spans="1:8" ht="54.6" hidden="1" customHeight="1" x14ac:dyDescent="0.3">
      <c r="A141" s="9" t="s">
        <v>1281</v>
      </c>
      <c r="B141" s="9" t="s">
        <v>1226</v>
      </c>
      <c r="C141" s="9" t="s">
        <v>1528</v>
      </c>
      <c r="D141" s="9">
        <v>528</v>
      </c>
      <c r="E141" s="9">
        <v>2</v>
      </c>
      <c r="F141" s="9">
        <v>147.6</v>
      </c>
      <c r="G141" s="14" t="s">
        <v>1224</v>
      </c>
      <c r="H141" s="10" t="s">
        <v>1496</v>
      </c>
    </row>
    <row r="142" spans="1:8" ht="54.6" hidden="1" customHeight="1" x14ac:dyDescent="0.3">
      <c r="A142" s="9" t="s">
        <v>1281</v>
      </c>
      <c r="B142" s="9" t="s">
        <v>1499</v>
      </c>
      <c r="C142" s="9" t="s">
        <v>1529</v>
      </c>
      <c r="D142" s="9">
        <v>575</v>
      </c>
      <c r="E142" s="9">
        <v>1</v>
      </c>
      <c r="F142" s="9">
        <v>44.1</v>
      </c>
      <c r="G142" s="14" t="s">
        <v>1224</v>
      </c>
      <c r="H142" s="10" t="s">
        <v>1504</v>
      </c>
    </row>
    <row r="143" spans="1:8" ht="54.6" hidden="1" customHeight="1" x14ac:dyDescent="0.3">
      <c r="A143" s="9" t="s">
        <v>1241</v>
      </c>
      <c r="B143" s="9" t="s">
        <v>1381</v>
      </c>
      <c r="C143" s="9" t="s">
        <v>1530</v>
      </c>
      <c r="D143" s="9">
        <v>504</v>
      </c>
      <c r="E143" s="9">
        <v>8</v>
      </c>
      <c r="F143" s="9">
        <v>353.7</v>
      </c>
      <c r="G143" s="14" t="s">
        <v>1224</v>
      </c>
      <c r="H143" s="10" t="s">
        <v>1531</v>
      </c>
    </row>
    <row r="144" spans="1:8" ht="54.6" hidden="1" customHeight="1" x14ac:dyDescent="0.3">
      <c r="A144" s="9" t="s">
        <v>1241</v>
      </c>
      <c r="B144" s="9" t="s">
        <v>1275</v>
      </c>
      <c r="C144" s="9" t="s">
        <v>1532</v>
      </c>
      <c r="D144" s="9">
        <v>584</v>
      </c>
      <c r="E144" s="9">
        <v>4</v>
      </c>
      <c r="F144" s="9">
        <v>218.7</v>
      </c>
      <c r="G144" s="14" t="s">
        <v>1224</v>
      </c>
      <c r="H144" s="10" t="s">
        <v>1277</v>
      </c>
    </row>
    <row r="145" spans="1:8" ht="54.6" hidden="1" customHeight="1" x14ac:dyDescent="0.3">
      <c r="A145" s="9" t="s">
        <v>1226</v>
      </c>
      <c r="B145" s="9" t="s">
        <v>1351</v>
      </c>
      <c r="C145" s="9" t="s">
        <v>1533</v>
      </c>
      <c r="D145" s="9">
        <v>505</v>
      </c>
      <c r="E145" s="9">
        <v>1</v>
      </c>
      <c r="F145" s="9">
        <v>78.3</v>
      </c>
      <c r="G145" s="14" t="s">
        <v>1224</v>
      </c>
      <c r="H145" s="10" t="s">
        <v>1262</v>
      </c>
    </row>
    <row r="146" spans="1:8" ht="54.6" hidden="1" customHeight="1" x14ac:dyDescent="0.3">
      <c r="A146" s="9" t="s">
        <v>1234</v>
      </c>
      <c r="B146" s="9" t="s">
        <v>1226</v>
      </c>
      <c r="C146" s="9" t="s">
        <v>1534</v>
      </c>
      <c r="D146" s="9">
        <v>530</v>
      </c>
      <c r="E146" s="9">
        <v>9</v>
      </c>
      <c r="F146" s="9">
        <v>482.4</v>
      </c>
      <c r="G146" s="14" t="s">
        <v>1224</v>
      </c>
      <c r="H146" s="10" t="s">
        <v>1477</v>
      </c>
    </row>
    <row r="147" spans="1:8" ht="54.6" hidden="1" customHeight="1" x14ac:dyDescent="0.3">
      <c r="A147" s="9" t="s">
        <v>1313</v>
      </c>
      <c r="B147" s="9" t="s">
        <v>1234</v>
      </c>
      <c r="C147" s="9" t="s">
        <v>1535</v>
      </c>
      <c r="D147" s="9">
        <v>640</v>
      </c>
      <c r="E147" s="9">
        <v>8</v>
      </c>
      <c r="F147" s="9">
        <v>1000.8</v>
      </c>
      <c r="G147" s="14" t="s">
        <v>1224</v>
      </c>
      <c r="H147" s="10" t="s">
        <v>1536</v>
      </c>
    </row>
    <row r="148" spans="1:8" ht="54.6" hidden="1" customHeight="1" x14ac:dyDescent="0.3">
      <c r="A148" s="9" t="s">
        <v>1237</v>
      </c>
      <c r="B148" s="9" t="s">
        <v>1459</v>
      </c>
      <c r="C148" s="9" t="s">
        <v>1537</v>
      </c>
      <c r="D148" s="9">
        <v>559</v>
      </c>
      <c r="E148" s="9">
        <v>2</v>
      </c>
      <c r="F148" s="9">
        <v>306.89999999999998</v>
      </c>
      <c r="G148" s="14" t="s">
        <v>1224</v>
      </c>
      <c r="H148" s="10" t="s">
        <v>1309</v>
      </c>
    </row>
    <row r="149" spans="1:8" ht="54.6" hidden="1" customHeight="1" x14ac:dyDescent="0.3">
      <c r="A149" s="9" t="s">
        <v>1241</v>
      </c>
      <c r="B149" s="9" t="s">
        <v>1237</v>
      </c>
      <c r="C149" s="9" t="s">
        <v>117</v>
      </c>
      <c r="D149" s="9">
        <v>465</v>
      </c>
      <c r="E149" s="9">
        <v>2</v>
      </c>
      <c r="F149" s="9">
        <v>281.7</v>
      </c>
      <c r="G149" s="14" t="s">
        <v>1224</v>
      </c>
      <c r="H149" s="10" t="s">
        <v>1538</v>
      </c>
    </row>
    <row r="150" spans="1:8" ht="54.6" hidden="1" customHeight="1" x14ac:dyDescent="0.3">
      <c r="A150" s="9" t="s">
        <v>1237</v>
      </c>
      <c r="B150" s="9" t="s">
        <v>1226</v>
      </c>
      <c r="C150" s="9" t="s">
        <v>1539</v>
      </c>
      <c r="D150" s="9">
        <v>109</v>
      </c>
      <c r="E150" s="9">
        <v>1</v>
      </c>
      <c r="F150" s="9">
        <v>203.4</v>
      </c>
      <c r="G150" s="14" t="s">
        <v>1224</v>
      </c>
      <c r="H150" s="10" t="s">
        <v>1540</v>
      </c>
    </row>
    <row r="151" spans="1:8" ht="54.6" hidden="1" customHeight="1" x14ac:dyDescent="0.3">
      <c r="A151" s="9" t="s">
        <v>1226</v>
      </c>
      <c r="B151" s="9" t="s">
        <v>1541</v>
      </c>
      <c r="C151" s="9" t="s">
        <v>1542</v>
      </c>
      <c r="D151" s="9">
        <v>471</v>
      </c>
      <c r="E151" s="9">
        <v>1</v>
      </c>
      <c r="F151" s="9">
        <v>78.3</v>
      </c>
      <c r="G151" s="14" t="s">
        <v>1224</v>
      </c>
      <c r="H151" s="10" t="s">
        <v>1262</v>
      </c>
    </row>
    <row r="152" spans="1:8" ht="22.95" hidden="1" customHeight="1" x14ac:dyDescent="0.3">
      <c r="A152" s="9" t="s">
        <v>1339</v>
      </c>
      <c r="B152" s="9" t="s">
        <v>1340</v>
      </c>
      <c r="C152" s="9" t="s">
        <v>1341</v>
      </c>
      <c r="D152" s="9">
        <v>330</v>
      </c>
      <c r="E152" s="9">
        <v>0</v>
      </c>
      <c r="F152" s="9">
        <v>0</v>
      </c>
      <c r="G152" s="14" t="s">
        <v>1224</v>
      </c>
      <c r="H152" s="10"/>
    </row>
    <row r="153" spans="1:8" ht="54.6" hidden="1" customHeight="1" x14ac:dyDescent="0.3">
      <c r="A153" s="9" t="s">
        <v>1226</v>
      </c>
      <c r="B153" s="9" t="s">
        <v>1267</v>
      </c>
      <c r="C153" s="9" t="s">
        <v>1291</v>
      </c>
      <c r="D153" s="9">
        <v>415</v>
      </c>
      <c r="E153" s="9">
        <v>1</v>
      </c>
      <c r="F153" s="9">
        <v>78.3</v>
      </c>
      <c r="G153" s="14" t="s">
        <v>1224</v>
      </c>
      <c r="H153" s="10" t="s">
        <v>1262</v>
      </c>
    </row>
    <row r="154" spans="1:8" ht="54.6" hidden="1" customHeight="1" x14ac:dyDescent="0.3">
      <c r="A154" s="9" t="s">
        <v>1543</v>
      </c>
      <c r="B154" s="9" t="s">
        <v>1226</v>
      </c>
      <c r="C154" s="9" t="s">
        <v>1544</v>
      </c>
      <c r="D154" s="9">
        <v>482</v>
      </c>
      <c r="E154" s="9">
        <v>1</v>
      </c>
      <c r="F154" s="9">
        <v>78.3</v>
      </c>
      <c r="G154" s="14" t="s">
        <v>1224</v>
      </c>
      <c r="H154" s="10" t="s">
        <v>1262</v>
      </c>
    </row>
    <row r="155" spans="1:8" ht="22.95" hidden="1" customHeight="1" x14ac:dyDescent="0.3">
      <c r="A155" s="9" t="s">
        <v>1372</v>
      </c>
      <c r="B155" s="9" t="s">
        <v>1351</v>
      </c>
      <c r="C155" s="9" t="s">
        <v>1545</v>
      </c>
      <c r="D155" s="9">
        <v>337</v>
      </c>
      <c r="E155" s="9">
        <v>0</v>
      </c>
      <c r="F155" s="9">
        <v>0</v>
      </c>
      <c r="G155" s="14" t="s">
        <v>1224</v>
      </c>
      <c r="H155" s="10"/>
    </row>
    <row r="156" spans="1:8" ht="54.6" hidden="1" customHeight="1" x14ac:dyDescent="0.3">
      <c r="A156" s="9" t="s">
        <v>1241</v>
      </c>
      <c r="B156" s="9" t="s">
        <v>1234</v>
      </c>
      <c r="C156" s="9" t="s">
        <v>1546</v>
      </c>
      <c r="D156" s="9">
        <v>573</v>
      </c>
      <c r="E156" s="9">
        <v>10</v>
      </c>
      <c r="F156" s="9">
        <v>585.9</v>
      </c>
      <c r="G156" s="14" t="s">
        <v>1224</v>
      </c>
      <c r="H156" s="10" t="s">
        <v>1547</v>
      </c>
    </row>
    <row r="157" spans="1:8" ht="54.6" hidden="1" customHeight="1" x14ac:dyDescent="0.3">
      <c r="A157" s="9" t="s">
        <v>1237</v>
      </c>
      <c r="B157" s="9" t="s">
        <v>1492</v>
      </c>
      <c r="C157" s="9" t="s">
        <v>1548</v>
      </c>
      <c r="D157" s="9">
        <v>683</v>
      </c>
      <c r="E157" s="9">
        <v>2</v>
      </c>
      <c r="F157" s="9">
        <v>306.89999999999998</v>
      </c>
      <c r="G157" s="14" t="s">
        <v>1224</v>
      </c>
      <c r="H157" s="10" t="s">
        <v>1309</v>
      </c>
    </row>
    <row r="158" spans="1:8" ht="54.6" hidden="1" customHeight="1" x14ac:dyDescent="0.3">
      <c r="A158" s="9" t="s">
        <v>1410</v>
      </c>
      <c r="B158" s="9" t="s">
        <v>1281</v>
      </c>
      <c r="C158" s="9" t="s">
        <v>1549</v>
      </c>
      <c r="D158" s="9">
        <v>1012</v>
      </c>
      <c r="E158" s="9">
        <v>3</v>
      </c>
      <c r="F158" s="9">
        <v>208.8</v>
      </c>
      <c r="G158" s="14" t="s">
        <v>1224</v>
      </c>
      <c r="H158" s="10" t="s">
        <v>1550</v>
      </c>
    </row>
    <row r="159" spans="1:8" ht="54.6" hidden="1" customHeight="1" x14ac:dyDescent="0.3">
      <c r="A159" s="9" t="s">
        <v>1375</v>
      </c>
      <c r="B159" s="9" t="s">
        <v>1226</v>
      </c>
      <c r="C159" s="9" t="s">
        <v>1551</v>
      </c>
      <c r="D159" s="9">
        <v>990</v>
      </c>
      <c r="E159" s="9">
        <v>3</v>
      </c>
      <c r="F159" s="9">
        <v>283.5</v>
      </c>
      <c r="G159" s="14" t="s">
        <v>1224</v>
      </c>
      <c r="H159" s="10" t="s">
        <v>1552</v>
      </c>
    </row>
    <row r="160" spans="1:8" ht="54.6" hidden="1" customHeight="1" x14ac:dyDescent="0.3">
      <c r="A160" s="9" t="s">
        <v>1237</v>
      </c>
      <c r="B160" s="9" t="s">
        <v>1430</v>
      </c>
      <c r="C160" s="9" t="s">
        <v>116</v>
      </c>
      <c r="D160" s="9">
        <v>800</v>
      </c>
      <c r="E160" s="9">
        <v>2</v>
      </c>
      <c r="F160" s="9">
        <v>306.89999999999998</v>
      </c>
      <c r="G160" s="14" t="s">
        <v>1224</v>
      </c>
      <c r="H160" s="10" t="s">
        <v>1309</v>
      </c>
    </row>
    <row r="161" spans="1:8" ht="54.6" hidden="1" customHeight="1" x14ac:dyDescent="0.3">
      <c r="A161" s="9" t="s">
        <v>1237</v>
      </c>
      <c r="B161" s="9" t="s">
        <v>1391</v>
      </c>
      <c r="C161" s="9" t="s">
        <v>1553</v>
      </c>
      <c r="D161" s="9">
        <v>1406</v>
      </c>
      <c r="E161" s="9">
        <v>11</v>
      </c>
      <c r="F161" s="9">
        <v>1340.1</v>
      </c>
      <c r="G161" s="14" t="s">
        <v>1224</v>
      </c>
      <c r="H161" s="10" t="s">
        <v>1554</v>
      </c>
    </row>
    <row r="162" spans="1:8" ht="54.6" hidden="1" customHeight="1" x14ac:dyDescent="0.3">
      <c r="A162" s="9" t="s">
        <v>1339</v>
      </c>
      <c r="B162" s="9" t="s">
        <v>1234</v>
      </c>
      <c r="C162" s="9" t="s">
        <v>1555</v>
      </c>
      <c r="D162" s="9">
        <v>585</v>
      </c>
      <c r="E162" s="9">
        <v>13</v>
      </c>
      <c r="F162" s="9">
        <v>942.2</v>
      </c>
      <c r="G162" s="14" t="s">
        <v>1224</v>
      </c>
      <c r="H162" s="10" t="s">
        <v>1556</v>
      </c>
    </row>
    <row r="163" spans="1:8" ht="54.6" hidden="1" customHeight="1" x14ac:dyDescent="0.3">
      <c r="A163" s="9" t="s">
        <v>1226</v>
      </c>
      <c r="B163" s="9" t="s">
        <v>1275</v>
      </c>
      <c r="C163" s="9" t="s">
        <v>1557</v>
      </c>
      <c r="D163" s="9">
        <v>219</v>
      </c>
      <c r="E163" s="9">
        <v>3</v>
      </c>
      <c r="F163" s="9">
        <v>140.4</v>
      </c>
      <c r="G163" s="14" t="s">
        <v>1224</v>
      </c>
      <c r="H163" s="10" t="s">
        <v>1558</v>
      </c>
    </row>
    <row r="164" spans="1:8" ht="54.6" hidden="1" customHeight="1" x14ac:dyDescent="0.3">
      <c r="A164" s="9" t="s">
        <v>1541</v>
      </c>
      <c r="B164" s="9" t="s">
        <v>1226</v>
      </c>
      <c r="C164" s="9" t="s">
        <v>1559</v>
      </c>
      <c r="D164" s="9">
        <v>467</v>
      </c>
      <c r="E164" s="9">
        <v>1</v>
      </c>
      <c r="F164" s="9">
        <v>78.3</v>
      </c>
      <c r="G164" s="14" t="s">
        <v>1224</v>
      </c>
      <c r="H164" s="10" t="s">
        <v>1262</v>
      </c>
    </row>
    <row r="165" spans="1:8" ht="54.6" hidden="1" customHeight="1" x14ac:dyDescent="0.3">
      <c r="A165" s="9" t="s">
        <v>1313</v>
      </c>
      <c r="B165" s="9" t="s">
        <v>1226</v>
      </c>
      <c r="C165" s="9" t="s">
        <v>1560</v>
      </c>
      <c r="D165" s="9">
        <v>418</v>
      </c>
      <c r="E165" s="9">
        <v>1</v>
      </c>
      <c r="F165" s="9">
        <v>78.3</v>
      </c>
      <c r="G165" s="14" t="s">
        <v>1224</v>
      </c>
      <c r="H165" s="10" t="s">
        <v>1262</v>
      </c>
    </row>
    <row r="166" spans="1:8" ht="54.6" hidden="1" customHeight="1" x14ac:dyDescent="0.3">
      <c r="A166" s="9" t="s">
        <v>1351</v>
      </c>
      <c r="B166" s="9" t="s">
        <v>1226</v>
      </c>
      <c r="C166" s="9" t="s">
        <v>1561</v>
      </c>
      <c r="D166" s="9">
        <v>496</v>
      </c>
      <c r="E166" s="9">
        <v>1</v>
      </c>
      <c r="F166" s="9">
        <v>78.3</v>
      </c>
      <c r="G166" s="14" t="s">
        <v>1224</v>
      </c>
      <c r="H166" s="10" t="s">
        <v>1262</v>
      </c>
    </row>
    <row r="167" spans="1:8" ht="22.95" hidden="1" customHeight="1" x14ac:dyDescent="0.3">
      <c r="A167" s="9" t="s">
        <v>1562</v>
      </c>
      <c r="B167" s="9" t="s">
        <v>1351</v>
      </c>
      <c r="C167" s="9" t="s">
        <v>1563</v>
      </c>
      <c r="D167" s="9">
        <v>134</v>
      </c>
      <c r="E167" s="9">
        <v>0</v>
      </c>
      <c r="F167" s="9">
        <v>0</v>
      </c>
      <c r="G167" s="14" t="s">
        <v>1224</v>
      </c>
      <c r="H167" s="10"/>
    </row>
    <row r="168" spans="1:8" ht="54.6" hidden="1" customHeight="1" x14ac:dyDescent="0.3">
      <c r="A168" s="9" t="s">
        <v>1237</v>
      </c>
      <c r="B168" s="9" t="s">
        <v>1369</v>
      </c>
      <c r="C168" s="9" t="s">
        <v>115</v>
      </c>
      <c r="D168" s="9">
        <v>581</v>
      </c>
      <c r="E168" s="9">
        <v>6</v>
      </c>
      <c r="F168" s="9">
        <v>581.4</v>
      </c>
      <c r="G168" s="14" t="s">
        <v>1224</v>
      </c>
      <c r="H168" s="10" t="s">
        <v>1564</v>
      </c>
    </row>
    <row r="169" spans="1:8" ht="54.6" hidden="1" customHeight="1" x14ac:dyDescent="0.3">
      <c r="A169" s="9" t="s">
        <v>1237</v>
      </c>
      <c r="B169" s="9" t="s">
        <v>1288</v>
      </c>
      <c r="C169" s="9" t="s">
        <v>1289</v>
      </c>
      <c r="D169" s="9">
        <v>1614</v>
      </c>
      <c r="E169" s="9">
        <v>10</v>
      </c>
      <c r="F169" s="9">
        <v>903.6</v>
      </c>
      <c r="G169" s="14" t="s">
        <v>1224</v>
      </c>
      <c r="H169" s="10" t="s">
        <v>1290</v>
      </c>
    </row>
    <row r="170" spans="1:8" ht="54.6" hidden="1" customHeight="1" x14ac:dyDescent="0.3">
      <c r="A170" s="9" t="s">
        <v>1226</v>
      </c>
      <c r="B170" s="9" t="s">
        <v>1565</v>
      </c>
      <c r="C170" s="9" t="s">
        <v>1566</v>
      </c>
      <c r="D170" s="9">
        <v>709</v>
      </c>
      <c r="E170" s="9">
        <v>1</v>
      </c>
      <c r="F170" s="9">
        <v>103.5</v>
      </c>
      <c r="G170" s="14" t="s">
        <v>1224</v>
      </c>
      <c r="H170" s="10" t="s">
        <v>1245</v>
      </c>
    </row>
    <row r="171" spans="1:8" ht="54.6" hidden="1" customHeight="1" x14ac:dyDescent="0.3">
      <c r="A171" s="9" t="s">
        <v>1410</v>
      </c>
      <c r="B171" s="9" t="s">
        <v>1270</v>
      </c>
      <c r="C171" s="9" t="s">
        <v>1567</v>
      </c>
      <c r="D171" s="9">
        <v>1297</v>
      </c>
      <c r="E171" s="9">
        <v>7</v>
      </c>
      <c r="F171" s="9">
        <v>406.8</v>
      </c>
      <c r="G171" s="14" t="s">
        <v>1224</v>
      </c>
      <c r="H171" s="10" t="s">
        <v>1405</v>
      </c>
    </row>
    <row r="172" spans="1:8" ht="54.6" hidden="1" customHeight="1" x14ac:dyDescent="0.3">
      <c r="A172" s="9" t="s">
        <v>1568</v>
      </c>
      <c r="B172" s="9" t="s">
        <v>1226</v>
      </c>
      <c r="C172" s="9" t="s">
        <v>1569</v>
      </c>
      <c r="D172" s="9">
        <v>570</v>
      </c>
      <c r="E172" s="9">
        <v>1</v>
      </c>
      <c r="F172" s="9">
        <v>78.3</v>
      </c>
      <c r="G172" s="14" t="s">
        <v>1224</v>
      </c>
      <c r="H172" s="10" t="s">
        <v>1262</v>
      </c>
    </row>
    <row r="173" spans="1:8" ht="54.6" hidden="1" customHeight="1" x14ac:dyDescent="0.3">
      <c r="A173" s="9" t="s">
        <v>1241</v>
      </c>
      <c r="B173" s="9" t="s">
        <v>1570</v>
      </c>
      <c r="C173" s="9" t="s">
        <v>1571</v>
      </c>
      <c r="D173" s="9">
        <v>103</v>
      </c>
      <c r="E173" s="9">
        <v>1</v>
      </c>
      <c r="F173" s="9">
        <v>98.1</v>
      </c>
      <c r="G173" s="14" t="s">
        <v>1224</v>
      </c>
      <c r="H173" s="10" t="s">
        <v>1572</v>
      </c>
    </row>
    <row r="174" spans="1:8" ht="54.6" hidden="1" customHeight="1" x14ac:dyDescent="0.3">
      <c r="A174" s="9" t="s">
        <v>1226</v>
      </c>
      <c r="B174" s="9" t="s">
        <v>1401</v>
      </c>
      <c r="C174" s="9" t="s">
        <v>1573</v>
      </c>
      <c r="D174" s="9">
        <v>351</v>
      </c>
      <c r="E174" s="9">
        <v>5</v>
      </c>
      <c r="F174" s="9">
        <v>378</v>
      </c>
      <c r="G174" s="14" t="s">
        <v>1224</v>
      </c>
      <c r="H174" s="10" t="s">
        <v>1371</v>
      </c>
    </row>
    <row r="175" spans="1:8" ht="54.6" hidden="1" customHeight="1" x14ac:dyDescent="0.3">
      <c r="A175" s="9" t="s">
        <v>1226</v>
      </c>
      <c r="B175" s="9" t="s">
        <v>1340</v>
      </c>
      <c r="C175" s="9" t="s">
        <v>1574</v>
      </c>
      <c r="D175" s="9">
        <v>999</v>
      </c>
      <c r="E175" s="9">
        <v>4</v>
      </c>
      <c r="F175" s="9">
        <v>368.1</v>
      </c>
      <c r="G175" s="14" t="s">
        <v>1224</v>
      </c>
      <c r="H175" s="10" t="s">
        <v>1575</v>
      </c>
    </row>
    <row r="176" spans="1:8" ht="22.95" hidden="1" customHeight="1" x14ac:dyDescent="0.3">
      <c r="A176" s="9" t="s">
        <v>1260</v>
      </c>
      <c r="B176" s="9" t="s">
        <v>1260</v>
      </c>
      <c r="C176" s="9" t="s">
        <v>1576</v>
      </c>
      <c r="D176" s="9">
        <v>0</v>
      </c>
      <c r="E176" s="9">
        <v>0</v>
      </c>
      <c r="F176" s="9">
        <v>0</v>
      </c>
      <c r="G176" s="14"/>
      <c r="H176" s="10"/>
    </row>
    <row r="177" spans="1:8" ht="54.6" hidden="1" customHeight="1" x14ac:dyDescent="0.3">
      <c r="A177" s="9" t="s">
        <v>1237</v>
      </c>
      <c r="B177" s="9" t="s">
        <v>1577</v>
      </c>
      <c r="C177" s="9" t="s">
        <v>1578</v>
      </c>
      <c r="D177" s="9">
        <v>739</v>
      </c>
      <c r="E177" s="9">
        <v>9</v>
      </c>
      <c r="F177" s="9">
        <v>956.5</v>
      </c>
      <c r="G177" s="14" t="s">
        <v>1224</v>
      </c>
      <c r="H177" s="10" t="s">
        <v>1579</v>
      </c>
    </row>
    <row r="178" spans="1:8" ht="54.6" hidden="1" customHeight="1" x14ac:dyDescent="0.3">
      <c r="A178" s="9" t="s">
        <v>1363</v>
      </c>
      <c r="B178" s="9" t="s">
        <v>1226</v>
      </c>
      <c r="C178" s="9" t="s">
        <v>120</v>
      </c>
      <c r="D178" s="9">
        <v>491</v>
      </c>
      <c r="E178" s="9">
        <v>1</v>
      </c>
      <c r="F178" s="9">
        <v>78.3</v>
      </c>
      <c r="G178" s="14" t="s">
        <v>1224</v>
      </c>
      <c r="H178" s="10" t="s">
        <v>1262</v>
      </c>
    </row>
    <row r="179" spans="1:8" ht="54.6" hidden="1" customHeight="1" x14ac:dyDescent="0.3">
      <c r="A179" s="9" t="s">
        <v>1241</v>
      </c>
      <c r="B179" s="9" t="s">
        <v>1257</v>
      </c>
      <c r="C179" s="9" t="s">
        <v>1580</v>
      </c>
      <c r="D179" s="9">
        <v>576</v>
      </c>
      <c r="E179" s="9">
        <v>11</v>
      </c>
      <c r="F179" s="9">
        <v>504</v>
      </c>
      <c r="G179" s="14" t="s">
        <v>1224</v>
      </c>
      <c r="H179" s="10" t="s">
        <v>1581</v>
      </c>
    </row>
    <row r="180" spans="1:8" ht="54.6" hidden="1" customHeight="1" x14ac:dyDescent="0.3">
      <c r="A180" s="9" t="s">
        <v>1582</v>
      </c>
      <c r="B180" s="9" t="s">
        <v>1381</v>
      </c>
      <c r="C180" s="9" t="s">
        <v>1583</v>
      </c>
      <c r="D180" s="9">
        <v>1961</v>
      </c>
      <c r="E180" s="9">
        <v>25</v>
      </c>
      <c r="F180" s="9">
        <v>2510.8000000000002</v>
      </c>
      <c r="G180" s="14" t="s">
        <v>1224</v>
      </c>
      <c r="H180" s="10" t="s">
        <v>1584</v>
      </c>
    </row>
    <row r="181" spans="1:8" ht="54.6" hidden="1" customHeight="1" x14ac:dyDescent="0.3">
      <c r="A181" s="9" t="s">
        <v>1585</v>
      </c>
      <c r="B181" s="9" t="s">
        <v>1226</v>
      </c>
      <c r="C181" s="9" t="s">
        <v>1586</v>
      </c>
      <c r="D181" s="9">
        <v>497</v>
      </c>
      <c r="E181" s="9">
        <v>1</v>
      </c>
      <c r="F181" s="9">
        <v>78.3</v>
      </c>
      <c r="G181" s="14" t="s">
        <v>1224</v>
      </c>
      <c r="H181" s="10" t="s">
        <v>1262</v>
      </c>
    </row>
    <row r="182" spans="1:8" ht="54.6" hidden="1" customHeight="1" x14ac:dyDescent="0.3">
      <c r="A182" s="9" t="s">
        <v>1226</v>
      </c>
      <c r="B182" s="9" t="s">
        <v>1587</v>
      </c>
      <c r="C182" s="9" t="s">
        <v>1588</v>
      </c>
      <c r="D182" s="9">
        <v>555</v>
      </c>
      <c r="E182" s="9">
        <v>3</v>
      </c>
      <c r="F182" s="9">
        <v>268.2</v>
      </c>
      <c r="G182" s="14" t="s">
        <v>1224</v>
      </c>
      <c r="H182" s="10" t="s">
        <v>1589</v>
      </c>
    </row>
    <row r="183" spans="1:8" ht="54.6" hidden="1" customHeight="1" x14ac:dyDescent="0.3">
      <c r="A183" s="9" t="s">
        <v>1227</v>
      </c>
      <c r="B183" s="9" t="s">
        <v>1226</v>
      </c>
      <c r="C183" s="9" t="s">
        <v>1590</v>
      </c>
      <c r="D183" s="9">
        <v>1711</v>
      </c>
      <c r="E183" s="9">
        <v>12</v>
      </c>
      <c r="F183" s="9">
        <v>859.5</v>
      </c>
      <c r="G183" s="14" t="s">
        <v>1224</v>
      </c>
      <c r="H183" s="10" t="s">
        <v>1591</v>
      </c>
    </row>
    <row r="184" spans="1:8" ht="54.6" hidden="1" customHeight="1" x14ac:dyDescent="0.3">
      <c r="A184" s="9" t="s">
        <v>1246</v>
      </c>
      <c r="B184" s="9" t="s">
        <v>1241</v>
      </c>
      <c r="C184" s="9" t="s">
        <v>1592</v>
      </c>
      <c r="D184" s="9">
        <v>1699</v>
      </c>
      <c r="E184" s="9">
        <v>15</v>
      </c>
      <c r="F184" s="9">
        <v>1003.5</v>
      </c>
      <c r="G184" s="14" t="s">
        <v>1224</v>
      </c>
      <c r="H184" s="10" t="s">
        <v>1593</v>
      </c>
    </row>
    <row r="185" spans="1:8" ht="54.6" hidden="1" customHeight="1" x14ac:dyDescent="0.3">
      <c r="A185" s="9" t="s">
        <v>1237</v>
      </c>
      <c r="B185" s="9" t="s">
        <v>1270</v>
      </c>
      <c r="C185" s="9" t="s">
        <v>1302</v>
      </c>
      <c r="D185" s="9">
        <v>811</v>
      </c>
      <c r="E185" s="9">
        <v>13</v>
      </c>
      <c r="F185" s="9">
        <v>672.3</v>
      </c>
      <c r="G185" s="14" t="s">
        <v>1224</v>
      </c>
      <c r="H185" s="10" t="s">
        <v>1303</v>
      </c>
    </row>
    <row r="186" spans="1:8" ht="24.6" hidden="1" customHeight="1" x14ac:dyDescent="0.3">
      <c r="A186" s="9" t="s">
        <v>1313</v>
      </c>
      <c r="B186" s="9" t="s">
        <v>1267</v>
      </c>
      <c r="C186" s="9" t="s">
        <v>1594</v>
      </c>
      <c r="D186" s="9">
        <v>8</v>
      </c>
      <c r="E186" s="9">
        <v>0</v>
      </c>
      <c r="F186" s="9">
        <v>0</v>
      </c>
      <c r="G186" s="14" t="s">
        <v>1224</v>
      </c>
      <c r="H186" s="10"/>
    </row>
    <row r="187" spans="1:8" ht="54.6" hidden="1" customHeight="1" x14ac:dyDescent="0.3">
      <c r="A187" s="9" t="s">
        <v>1237</v>
      </c>
      <c r="B187" s="9" t="s">
        <v>1369</v>
      </c>
      <c r="C187" s="9" t="s">
        <v>115</v>
      </c>
      <c r="D187" s="9">
        <v>581</v>
      </c>
      <c r="E187" s="9">
        <v>6</v>
      </c>
      <c r="F187" s="9">
        <v>581.4</v>
      </c>
      <c r="G187" s="14" t="s">
        <v>1224</v>
      </c>
      <c r="H187" s="10" t="s">
        <v>1564</v>
      </c>
    </row>
    <row r="188" spans="1:8" ht="54.6" hidden="1" customHeight="1" x14ac:dyDescent="0.3">
      <c r="A188" s="9" t="s">
        <v>1226</v>
      </c>
      <c r="B188" s="9" t="s">
        <v>1459</v>
      </c>
      <c r="C188" s="9" t="s">
        <v>1595</v>
      </c>
      <c r="D188" s="9">
        <v>451</v>
      </c>
      <c r="E188" s="9">
        <v>1</v>
      </c>
      <c r="F188" s="9">
        <v>103.5</v>
      </c>
      <c r="G188" s="14" t="s">
        <v>1224</v>
      </c>
      <c r="H188" s="10" t="s">
        <v>1245</v>
      </c>
    </row>
    <row r="189" spans="1:8" ht="54.6" hidden="1" customHeight="1" x14ac:dyDescent="0.3">
      <c r="A189" s="9" t="s">
        <v>1237</v>
      </c>
      <c r="B189" s="9" t="s">
        <v>1254</v>
      </c>
      <c r="C189" s="9" t="s">
        <v>1286</v>
      </c>
      <c r="D189" s="9">
        <v>569</v>
      </c>
      <c r="E189" s="9">
        <v>10</v>
      </c>
      <c r="F189" s="9">
        <v>685.8</v>
      </c>
      <c r="G189" s="14" t="s">
        <v>1224</v>
      </c>
      <c r="H189" s="10" t="s">
        <v>1287</v>
      </c>
    </row>
    <row r="190" spans="1:8" ht="24.6" hidden="1" customHeight="1" x14ac:dyDescent="0.3">
      <c r="A190" s="9" t="s">
        <v>1585</v>
      </c>
      <c r="B190" s="9" t="s">
        <v>1351</v>
      </c>
      <c r="C190" s="9" t="s">
        <v>1596</v>
      </c>
      <c r="D190" s="9">
        <v>127</v>
      </c>
      <c r="E190" s="9">
        <v>0</v>
      </c>
      <c r="F190" s="9">
        <v>0</v>
      </c>
      <c r="G190" s="14" t="s">
        <v>1224</v>
      </c>
      <c r="H190" s="10"/>
    </row>
    <row r="191" spans="1:8" ht="54.6" hidden="1" customHeight="1" x14ac:dyDescent="0.3">
      <c r="A191" s="9" t="s">
        <v>1237</v>
      </c>
      <c r="B191" s="9" t="s">
        <v>1304</v>
      </c>
      <c r="C191" s="9" t="s">
        <v>1305</v>
      </c>
      <c r="D191" s="9">
        <v>1029</v>
      </c>
      <c r="E191" s="9">
        <v>4</v>
      </c>
      <c r="F191" s="9">
        <v>486.9</v>
      </c>
      <c r="G191" s="14" t="s">
        <v>1224</v>
      </c>
      <c r="H191" s="10" t="s">
        <v>1306</v>
      </c>
    </row>
    <row r="192" spans="1:8" ht="54.6" hidden="1" customHeight="1" x14ac:dyDescent="0.3">
      <c r="A192" s="9" t="s">
        <v>1237</v>
      </c>
      <c r="B192" s="9" t="s">
        <v>1391</v>
      </c>
      <c r="C192" s="9" t="s">
        <v>1553</v>
      </c>
      <c r="D192" s="9">
        <v>1406</v>
      </c>
      <c r="E192" s="9">
        <v>11</v>
      </c>
      <c r="F192" s="9">
        <v>1340.1</v>
      </c>
      <c r="G192" s="14" t="s">
        <v>1224</v>
      </c>
      <c r="H192" s="10" t="s">
        <v>1554</v>
      </c>
    </row>
    <row r="193" spans="1:8" ht="54.6" hidden="1" customHeight="1" x14ac:dyDescent="0.3">
      <c r="A193" s="9" t="s">
        <v>1237</v>
      </c>
      <c r="B193" s="9" t="s">
        <v>1241</v>
      </c>
      <c r="C193" s="9" t="s">
        <v>112</v>
      </c>
      <c r="D193" s="9">
        <v>153</v>
      </c>
      <c r="E193" s="9">
        <v>2</v>
      </c>
      <c r="F193" s="9">
        <v>306.89999999999998</v>
      </c>
      <c r="G193" s="14" t="s">
        <v>1224</v>
      </c>
      <c r="H193" s="10" t="s">
        <v>1309</v>
      </c>
    </row>
    <row r="194" spans="1:8" ht="54.6" hidden="1" customHeight="1" x14ac:dyDescent="0.3">
      <c r="A194" s="9" t="s">
        <v>1226</v>
      </c>
      <c r="B194" s="9" t="s">
        <v>1441</v>
      </c>
      <c r="C194" s="9" t="s">
        <v>1597</v>
      </c>
      <c r="D194" s="9">
        <v>543</v>
      </c>
      <c r="E194" s="9">
        <v>1</v>
      </c>
      <c r="F194" s="9">
        <v>78.3</v>
      </c>
      <c r="G194" s="14" t="s">
        <v>1224</v>
      </c>
      <c r="H194" s="10" t="s">
        <v>1262</v>
      </c>
    </row>
    <row r="195" spans="1:8" ht="54.6" hidden="1" customHeight="1" x14ac:dyDescent="0.3">
      <c r="A195" s="9" t="s">
        <v>1237</v>
      </c>
      <c r="B195" s="9" t="s">
        <v>1307</v>
      </c>
      <c r="C195" s="9" t="s">
        <v>1308</v>
      </c>
      <c r="D195" s="9">
        <v>556</v>
      </c>
      <c r="E195" s="9">
        <v>2</v>
      </c>
      <c r="F195" s="9">
        <v>306.89999999999998</v>
      </c>
      <c r="G195" s="14" t="s">
        <v>1224</v>
      </c>
      <c r="H195" s="10" t="s">
        <v>1309</v>
      </c>
    </row>
    <row r="196" spans="1:8" ht="54.6" hidden="1" customHeight="1" x14ac:dyDescent="0.3">
      <c r="A196" s="9" t="s">
        <v>1339</v>
      </c>
      <c r="B196" s="9" t="s">
        <v>1241</v>
      </c>
      <c r="C196" s="9" t="s">
        <v>1598</v>
      </c>
      <c r="D196" s="9">
        <v>749</v>
      </c>
      <c r="E196" s="9">
        <v>3</v>
      </c>
      <c r="F196" s="9">
        <v>259.2</v>
      </c>
      <c r="G196" s="14" t="s">
        <v>1224</v>
      </c>
      <c r="H196" s="10" t="s">
        <v>1599</v>
      </c>
    </row>
    <row r="197" spans="1:8" ht="54.6" hidden="1" customHeight="1" x14ac:dyDescent="0.3">
      <c r="A197" s="9" t="s">
        <v>1333</v>
      </c>
      <c r="B197" s="9" t="s">
        <v>1600</v>
      </c>
      <c r="C197" s="9" t="s">
        <v>1601</v>
      </c>
      <c r="D197" s="9">
        <v>224</v>
      </c>
      <c r="E197" s="9">
        <v>3</v>
      </c>
      <c r="F197" s="9">
        <v>301.5</v>
      </c>
      <c r="G197" s="14" t="s">
        <v>1224</v>
      </c>
      <c r="H197" s="10" t="s">
        <v>1602</v>
      </c>
    </row>
    <row r="198" spans="1:8" ht="54.6" customHeight="1" x14ac:dyDescent="0.3">
      <c r="A198" s="9" t="s">
        <v>1221</v>
      </c>
      <c r="B198" s="9" t="s">
        <v>1222</v>
      </c>
      <c r="C198" s="9" t="s">
        <v>1223</v>
      </c>
      <c r="D198" s="9">
        <v>511</v>
      </c>
      <c r="E198" s="9">
        <v>7</v>
      </c>
      <c r="F198" s="9">
        <v>390.6</v>
      </c>
      <c r="G198" s="14" t="s">
        <v>1224</v>
      </c>
      <c r="H198" s="10" t="s">
        <v>1225</v>
      </c>
    </row>
    <row r="199" spans="1:8" ht="54.6" hidden="1" customHeight="1" x14ac:dyDescent="0.3">
      <c r="A199" s="9" t="s">
        <v>1221</v>
      </c>
      <c r="B199" s="9" t="s">
        <v>1226</v>
      </c>
      <c r="C199" s="9" t="s">
        <v>1603</v>
      </c>
      <c r="D199" s="9">
        <v>100</v>
      </c>
      <c r="E199" s="9">
        <v>2</v>
      </c>
      <c r="F199" s="9">
        <v>179.1</v>
      </c>
      <c r="G199" s="14" t="s">
        <v>1224</v>
      </c>
      <c r="H199" s="10" t="s">
        <v>1604</v>
      </c>
    </row>
    <row r="200" spans="1:8" ht="54.6" hidden="1" customHeight="1" x14ac:dyDescent="0.3">
      <c r="A200" s="9" t="s">
        <v>1221</v>
      </c>
      <c r="B200" s="9" t="s">
        <v>1541</v>
      </c>
      <c r="C200" s="9" t="s">
        <v>1605</v>
      </c>
      <c r="D200" s="9">
        <v>519</v>
      </c>
      <c r="E200" s="9">
        <v>2</v>
      </c>
      <c r="F200" s="9">
        <v>173.7</v>
      </c>
      <c r="G200" s="14" t="s">
        <v>1224</v>
      </c>
      <c r="H200" s="10" t="s">
        <v>1606</v>
      </c>
    </row>
    <row r="201" spans="1:8" ht="54.6" hidden="1" customHeight="1" x14ac:dyDescent="0.3">
      <c r="A201" s="9" t="s">
        <v>1607</v>
      </c>
      <c r="B201" s="9" t="s">
        <v>1234</v>
      </c>
      <c r="C201" s="9" t="s">
        <v>122</v>
      </c>
      <c r="D201" s="9">
        <v>882</v>
      </c>
      <c r="E201" s="9">
        <v>10</v>
      </c>
      <c r="F201" s="9">
        <v>964.8</v>
      </c>
      <c r="G201" s="14" t="s">
        <v>1224</v>
      </c>
      <c r="H201" s="10" t="s">
        <v>1494</v>
      </c>
    </row>
    <row r="202" spans="1:8" ht="54.6" hidden="1" customHeight="1" x14ac:dyDescent="0.3">
      <c r="A202" s="9" t="s">
        <v>1275</v>
      </c>
      <c r="B202" s="9" t="s">
        <v>1226</v>
      </c>
      <c r="C202" s="9" t="s">
        <v>1608</v>
      </c>
      <c r="D202" s="9">
        <v>223</v>
      </c>
      <c r="E202" s="9">
        <v>3</v>
      </c>
      <c r="F202" s="9">
        <v>140.4</v>
      </c>
      <c r="G202" s="14" t="s">
        <v>1224</v>
      </c>
      <c r="H202" s="10" t="s">
        <v>1609</v>
      </c>
    </row>
    <row r="203" spans="1:8" ht="54.6" hidden="1" customHeight="1" x14ac:dyDescent="0.3">
      <c r="A203" s="9" t="s">
        <v>1438</v>
      </c>
      <c r="B203" s="9" t="s">
        <v>1226</v>
      </c>
      <c r="C203" s="9" t="s">
        <v>1610</v>
      </c>
      <c r="D203" s="9">
        <v>404</v>
      </c>
      <c r="E203" s="9">
        <v>2</v>
      </c>
      <c r="F203" s="9">
        <v>180.9</v>
      </c>
      <c r="G203" s="14" t="s">
        <v>1224</v>
      </c>
      <c r="H203" s="10" t="s">
        <v>1422</v>
      </c>
    </row>
    <row r="204" spans="1:8" ht="54.6" hidden="1" customHeight="1" x14ac:dyDescent="0.3">
      <c r="A204" s="9" t="s">
        <v>1221</v>
      </c>
      <c r="B204" s="9" t="s">
        <v>1275</v>
      </c>
      <c r="C204" s="9" t="s">
        <v>1611</v>
      </c>
      <c r="D204" s="9">
        <v>207</v>
      </c>
      <c r="E204" s="9">
        <v>1</v>
      </c>
      <c r="F204" s="9">
        <v>46.8</v>
      </c>
      <c r="G204" s="14" t="s">
        <v>1224</v>
      </c>
      <c r="H204" s="10" t="s">
        <v>1612</v>
      </c>
    </row>
    <row r="205" spans="1:8" ht="54.6" hidden="1" customHeight="1" x14ac:dyDescent="0.3">
      <c r="A205" s="9" t="s">
        <v>1607</v>
      </c>
      <c r="B205" s="9" t="s">
        <v>1226</v>
      </c>
      <c r="C205" s="9" t="s">
        <v>1613</v>
      </c>
      <c r="D205" s="9">
        <v>361</v>
      </c>
      <c r="E205" s="9">
        <v>1</v>
      </c>
      <c r="F205" s="9">
        <v>103.5</v>
      </c>
      <c r="G205" s="14" t="s">
        <v>1224</v>
      </c>
      <c r="H205" s="10" t="s">
        <v>1245</v>
      </c>
    </row>
    <row r="206" spans="1:8" ht="54.6" hidden="1" customHeight="1" x14ac:dyDescent="0.3">
      <c r="A206" s="9" t="s">
        <v>1417</v>
      </c>
      <c r="B206" s="9" t="s">
        <v>1226</v>
      </c>
      <c r="C206" s="9" t="s">
        <v>1614</v>
      </c>
      <c r="D206" s="9">
        <v>424</v>
      </c>
      <c r="E206" s="9">
        <v>1</v>
      </c>
      <c r="F206" s="9">
        <v>103.5</v>
      </c>
      <c r="G206" s="14" t="s">
        <v>1224</v>
      </c>
      <c r="H206" s="10" t="s">
        <v>1245</v>
      </c>
    </row>
    <row r="207" spans="1:8" ht="54.6" hidden="1" customHeight="1" x14ac:dyDescent="0.3">
      <c r="A207" s="9" t="s">
        <v>1221</v>
      </c>
      <c r="B207" s="9" t="s">
        <v>1247</v>
      </c>
      <c r="C207" s="9" t="s">
        <v>1615</v>
      </c>
      <c r="D207" s="9">
        <v>791</v>
      </c>
      <c r="E207" s="9">
        <v>12</v>
      </c>
      <c r="F207" s="9">
        <v>791</v>
      </c>
      <c r="G207" s="14" t="s">
        <v>1224</v>
      </c>
      <c r="H207" s="10" t="s">
        <v>1616</v>
      </c>
    </row>
    <row r="208" spans="1:8" ht="54.6" hidden="1" customHeight="1" x14ac:dyDescent="0.3">
      <c r="A208" s="9" t="s">
        <v>1221</v>
      </c>
      <c r="B208" s="9" t="s">
        <v>1381</v>
      </c>
      <c r="C208" s="9" t="s">
        <v>1617</v>
      </c>
      <c r="D208" s="9">
        <v>548</v>
      </c>
      <c r="E208" s="9">
        <v>9</v>
      </c>
      <c r="F208" s="9">
        <v>401.4</v>
      </c>
      <c r="G208" s="14" t="s">
        <v>1224</v>
      </c>
      <c r="H208" s="10" t="s">
        <v>1618</v>
      </c>
    </row>
    <row r="209" spans="1:8" ht="54.6" hidden="1" customHeight="1" x14ac:dyDescent="0.3">
      <c r="A209" s="9" t="s">
        <v>1607</v>
      </c>
      <c r="B209" s="9" t="s">
        <v>1499</v>
      </c>
      <c r="C209" s="9" t="s">
        <v>1619</v>
      </c>
      <c r="D209" s="9">
        <v>387</v>
      </c>
      <c r="E209" s="9">
        <v>1</v>
      </c>
      <c r="F209" s="9">
        <v>75.599999999999994</v>
      </c>
      <c r="G209" s="14" t="s">
        <v>1224</v>
      </c>
      <c r="H209" s="10" t="s">
        <v>1620</v>
      </c>
    </row>
    <row r="210" spans="1:8" ht="54.6" hidden="1" customHeight="1" x14ac:dyDescent="0.3">
      <c r="A210" s="9" t="s">
        <v>1247</v>
      </c>
      <c r="B210" s="9" t="s">
        <v>1234</v>
      </c>
      <c r="C210" s="9" t="s">
        <v>1621</v>
      </c>
      <c r="D210" s="9">
        <v>213</v>
      </c>
      <c r="E210" s="9">
        <v>6</v>
      </c>
      <c r="F210" s="9">
        <v>552.5</v>
      </c>
      <c r="G210" s="14" t="s">
        <v>1224</v>
      </c>
      <c r="H210" s="10" t="s">
        <v>1622</v>
      </c>
    </row>
    <row r="211" spans="1:8" ht="54.6" hidden="1" customHeight="1" x14ac:dyDescent="0.3">
      <c r="A211" s="9" t="s">
        <v>1381</v>
      </c>
      <c r="B211" s="9" t="s">
        <v>1330</v>
      </c>
      <c r="C211" s="9" t="s">
        <v>1623</v>
      </c>
      <c r="D211" s="9">
        <v>559</v>
      </c>
      <c r="E211" s="9">
        <v>12</v>
      </c>
      <c r="F211" s="9">
        <v>1090.8</v>
      </c>
      <c r="G211" s="14" t="s">
        <v>1224</v>
      </c>
      <c r="H211" s="10" t="s">
        <v>1624</v>
      </c>
    </row>
    <row r="212" spans="1:8" ht="54.6" hidden="1" customHeight="1" x14ac:dyDescent="0.3">
      <c r="A212" s="9" t="s">
        <v>1234</v>
      </c>
      <c r="B212" s="9" t="s">
        <v>1330</v>
      </c>
      <c r="C212" s="9" t="s">
        <v>1625</v>
      </c>
      <c r="D212" s="9">
        <v>466</v>
      </c>
      <c r="E212" s="9">
        <v>9</v>
      </c>
      <c r="F212" s="9">
        <v>699.2</v>
      </c>
      <c r="G212" s="14" t="s">
        <v>1224</v>
      </c>
      <c r="H212" s="10" t="s">
        <v>1626</v>
      </c>
    </row>
    <row r="213" spans="1:8" ht="54.6" hidden="1" customHeight="1" x14ac:dyDescent="0.3">
      <c r="A213" s="9" t="s">
        <v>1381</v>
      </c>
      <c r="B213" s="9" t="s">
        <v>1441</v>
      </c>
      <c r="C213" s="9" t="s">
        <v>1627</v>
      </c>
      <c r="D213" s="9">
        <v>571</v>
      </c>
      <c r="E213" s="9">
        <v>12</v>
      </c>
      <c r="F213" s="9">
        <v>1242</v>
      </c>
      <c r="G213" s="14" t="s">
        <v>1224</v>
      </c>
      <c r="H213" s="10" t="s">
        <v>1628</v>
      </c>
    </row>
    <row r="214" spans="1:8" ht="54.6" hidden="1" customHeight="1" x14ac:dyDescent="0.3">
      <c r="A214" s="9" t="s">
        <v>1278</v>
      </c>
      <c r="B214" s="9" t="s">
        <v>1234</v>
      </c>
      <c r="C214" s="9" t="s">
        <v>113</v>
      </c>
      <c r="D214" s="9">
        <v>215</v>
      </c>
      <c r="E214" s="9">
        <v>4</v>
      </c>
      <c r="F214" s="9">
        <v>306.89999999999998</v>
      </c>
      <c r="G214" s="14" t="s">
        <v>1224</v>
      </c>
      <c r="H214" s="10" t="s">
        <v>1629</v>
      </c>
    </row>
    <row r="215" spans="1:8" ht="54.6" hidden="1" customHeight="1" x14ac:dyDescent="0.3">
      <c r="A215" s="9" t="s">
        <v>1381</v>
      </c>
      <c r="B215" s="9" t="s">
        <v>1541</v>
      </c>
      <c r="C215" s="9" t="s">
        <v>1630</v>
      </c>
      <c r="D215" s="9">
        <v>682</v>
      </c>
      <c r="E215" s="9">
        <v>9</v>
      </c>
      <c r="F215" s="9">
        <v>958.5</v>
      </c>
      <c r="G215" s="14" t="s">
        <v>1224</v>
      </c>
      <c r="H215" s="10" t="s">
        <v>1631</v>
      </c>
    </row>
    <row r="216" spans="1:8" ht="54.6" hidden="1" customHeight="1" x14ac:dyDescent="0.3">
      <c r="A216" s="9" t="s">
        <v>1632</v>
      </c>
      <c r="B216" s="9" t="s">
        <v>1441</v>
      </c>
      <c r="C216" s="9" t="s">
        <v>1633</v>
      </c>
      <c r="D216" s="9">
        <v>465</v>
      </c>
      <c r="E216" s="9">
        <v>7</v>
      </c>
      <c r="F216" s="9">
        <v>600.79999999999995</v>
      </c>
      <c r="G216" s="14" t="s">
        <v>1224</v>
      </c>
      <c r="H216" s="10" t="s">
        <v>1634</v>
      </c>
    </row>
    <row r="217" spans="1:8" ht="54.6" hidden="1" customHeight="1" x14ac:dyDescent="0.3">
      <c r="A217" s="9" t="s">
        <v>1278</v>
      </c>
      <c r="B217" s="9" t="s">
        <v>1635</v>
      </c>
      <c r="C217" s="9" t="s">
        <v>1636</v>
      </c>
      <c r="D217" s="9">
        <v>711</v>
      </c>
      <c r="E217" s="9">
        <v>10</v>
      </c>
      <c r="F217" s="9">
        <v>997.2</v>
      </c>
      <c r="G217" s="14" t="s">
        <v>1224</v>
      </c>
      <c r="H217" s="10" t="s">
        <v>1637</v>
      </c>
    </row>
    <row r="218" spans="1:8" ht="54.6" hidden="1" customHeight="1" x14ac:dyDescent="0.3">
      <c r="A218" s="9" t="s">
        <v>1638</v>
      </c>
      <c r="B218" s="9" t="s">
        <v>1226</v>
      </c>
      <c r="C218" s="9" t="s">
        <v>1639</v>
      </c>
      <c r="D218" s="9">
        <v>512</v>
      </c>
      <c r="E218" s="9">
        <v>1</v>
      </c>
      <c r="F218" s="9">
        <v>78.3</v>
      </c>
      <c r="G218" s="14" t="s">
        <v>1224</v>
      </c>
      <c r="H218" s="10" t="s">
        <v>1262</v>
      </c>
    </row>
    <row r="219" spans="1:8" ht="54.6" hidden="1" customHeight="1" x14ac:dyDescent="0.3">
      <c r="A219" s="9" t="s">
        <v>1638</v>
      </c>
      <c r="B219" s="9" t="s">
        <v>1275</v>
      </c>
      <c r="C219" s="9" t="s">
        <v>1640</v>
      </c>
      <c r="D219" s="9">
        <v>732</v>
      </c>
      <c r="E219" s="9">
        <v>4</v>
      </c>
      <c r="F219" s="9">
        <v>218.7</v>
      </c>
      <c r="G219" s="14" t="s">
        <v>1224</v>
      </c>
      <c r="H219" s="10" t="s">
        <v>1277</v>
      </c>
    </row>
    <row r="220" spans="1:8" ht="54.6" hidden="1" customHeight="1" x14ac:dyDescent="0.3">
      <c r="A220" s="9" t="s">
        <v>1466</v>
      </c>
      <c r="B220" s="9" t="s">
        <v>1226</v>
      </c>
      <c r="C220" s="9" t="s">
        <v>1641</v>
      </c>
      <c r="D220" s="9">
        <v>497</v>
      </c>
      <c r="E220" s="9">
        <v>5</v>
      </c>
      <c r="F220" s="9">
        <v>502.2</v>
      </c>
      <c r="G220" s="14" t="s">
        <v>1224</v>
      </c>
      <c r="H220" s="10" t="s">
        <v>1642</v>
      </c>
    </row>
    <row r="221" spans="1:8" ht="54.6" hidden="1" customHeight="1" x14ac:dyDescent="0.3">
      <c r="A221" s="9" t="s">
        <v>1643</v>
      </c>
      <c r="B221" s="9" t="s">
        <v>1275</v>
      </c>
      <c r="C221" s="9" t="s">
        <v>1644</v>
      </c>
      <c r="D221" s="9">
        <v>745</v>
      </c>
      <c r="E221" s="9">
        <v>8</v>
      </c>
      <c r="F221" s="9">
        <v>598.79999999999995</v>
      </c>
      <c r="G221" s="14" t="s">
        <v>1224</v>
      </c>
      <c r="H221" s="10" t="s">
        <v>1645</v>
      </c>
    </row>
    <row r="222" spans="1:8" ht="54.6" hidden="1" customHeight="1" x14ac:dyDescent="0.3">
      <c r="A222" s="9" t="s">
        <v>1466</v>
      </c>
      <c r="B222" s="9" t="s">
        <v>1281</v>
      </c>
      <c r="C222" s="9" t="s">
        <v>1646</v>
      </c>
      <c r="D222" s="9">
        <v>900</v>
      </c>
      <c r="E222" s="9">
        <v>4</v>
      </c>
      <c r="F222" s="9">
        <v>411.3</v>
      </c>
      <c r="G222" s="14" t="s">
        <v>1224</v>
      </c>
      <c r="H222" s="10" t="s">
        <v>1647</v>
      </c>
    </row>
    <row r="223" spans="1:8" ht="54.6" hidden="1" customHeight="1" x14ac:dyDescent="0.3">
      <c r="A223" s="9" t="s">
        <v>1246</v>
      </c>
      <c r="B223" s="9" t="s">
        <v>1226</v>
      </c>
      <c r="C223" s="9" t="s">
        <v>1648</v>
      </c>
      <c r="D223" s="9">
        <v>2052</v>
      </c>
      <c r="E223" s="9">
        <v>16</v>
      </c>
      <c r="F223" s="9">
        <v>1081.8</v>
      </c>
      <c r="G223" s="14" t="s">
        <v>1224</v>
      </c>
      <c r="H223" s="10" t="s">
        <v>1649</v>
      </c>
    </row>
    <row r="224" spans="1:8" ht="54.6" hidden="1" customHeight="1" x14ac:dyDescent="0.3">
      <c r="A224" s="9" t="s">
        <v>1441</v>
      </c>
      <c r="B224" s="9" t="s">
        <v>1226</v>
      </c>
      <c r="C224" s="9" t="s">
        <v>1650</v>
      </c>
      <c r="D224" s="9">
        <v>540</v>
      </c>
      <c r="E224" s="9">
        <v>1</v>
      </c>
      <c r="F224" s="9">
        <v>78.3</v>
      </c>
      <c r="G224" s="14" t="s">
        <v>1224</v>
      </c>
      <c r="H224" s="10" t="s">
        <v>1262</v>
      </c>
    </row>
    <row r="225" spans="1:8" ht="54.6" hidden="1" customHeight="1" x14ac:dyDescent="0.3">
      <c r="A225" s="9" t="s">
        <v>1651</v>
      </c>
      <c r="B225" s="9" t="s">
        <v>1254</v>
      </c>
      <c r="C225" s="9" t="s">
        <v>1652</v>
      </c>
      <c r="D225" s="9">
        <v>454</v>
      </c>
      <c r="E225" s="9">
        <v>8</v>
      </c>
      <c r="F225" s="9">
        <v>608.29999999999995</v>
      </c>
      <c r="G225" s="14" t="s">
        <v>1224</v>
      </c>
      <c r="H225" s="10" t="s">
        <v>1653</v>
      </c>
    </row>
    <row r="226" spans="1:8" ht="54.6" hidden="1" customHeight="1" x14ac:dyDescent="0.3">
      <c r="A226" s="9" t="s">
        <v>1577</v>
      </c>
      <c r="B226" s="9" t="s">
        <v>1234</v>
      </c>
      <c r="C226" s="9" t="s">
        <v>1654</v>
      </c>
      <c r="D226" s="9">
        <v>428</v>
      </c>
      <c r="E226" s="9">
        <v>10</v>
      </c>
      <c r="F226" s="9">
        <v>884.8</v>
      </c>
      <c r="G226" s="14" t="s">
        <v>1224</v>
      </c>
      <c r="H226" s="10" t="s">
        <v>1655</v>
      </c>
    </row>
    <row r="227" spans="1:8" ht="54.6" hidden="1" customHeight="1" x14ac:dyDescent="0.3">
      <c r="A227" s="9" t="s">
        <v>1254</v>
      </c>
      <c r="B227" s="9" t="s">
        <v>1237</v>
      </c>
      <c r="C227" s="9" t="s">
        <v>1656</v>
      </c>
      <c r="D227" s="9">
        <v>570</v>
      </c>
      <c r="E227" s="9">
        <v>10</v>
      </c>
      <c r="F227" s="9">
        <v>685.8</v>
      </c>
      <c r="G227" s="14" t="s">
        <v>1224</v>
      </c>
      <c r="H227" s="10" t="s">
        <v>1657</v>
      </c>
    </row>
    <row r="228" spans="1:8" ht="54.6" hidden="1" customHeight="1" x14ac:dyDescent="0.3">
      <c r="A228" s="9" t="s">
        <v>1381</v>
      </c>
      <c r="B228" s="9" t="s">
        <v>1635</v>
      </c>
      <c r="C228" s="9" t="s">
        <v>1658</v>
      </c>
      <c r="D228" s="9">
        <v>640</v>
      </c>
      <c r="E228" s="9">
        <v>9</v>
      </c>
      <c r="F228" s="9">
        <v>958.5</v>
      </c>
      <c r="G228" s="14" t="s">
        <v>1224</v>
      </c>
      <c r="H228" s="10" t="s">
        <v>1631</v>
      </c>
    </row>
    <row r="229" spans="1:8" ht="54.6" hidden="1" customHeight="1" x14ac:dyDescent="0.3">
      <c r="A229" s="9" t="s">
        <v>1234</v>
      </c>
      <c r="B229" s="9" t="s">
        <v>1234</v>
      </c>
      <c r="C229" s="9" t="s">
        <v>1659</v>
      </c>
      <c r="D229" s="9">
        <v>0</v>
      </c>
      <c r="E229" s="9">
        <v>0</v>
      </c>
      <c r="F229" s="9">
        <v>0</v>
      </c>
      <c r="G229" s="14"/>
      <c r="H229" s="10"/>
    </row>
    <row r="230" spans="1:8" ht="54.6" hidden="1" customHeight="1" x14ac:dyDescent="0.3">
      <c r="A230" s="9" t="s">
        <v>1643</v>
      </c>
      <c r="B230" s="9" t="s">
        <v>1565</v>
      </c>
      <c r="C230" s="9" t="s">
        <v>1660</v>
      </c>
      <c r="D230" s="9">
        <v>1110</v>
      </c>
      <c r="E230" s="9">
        <v>4</v>
      </c>
      <c r="F230" s="9">
        <v>367.5</v>
      </c>
      <c r="G230" s="14" t="s">
        <v>1224</v>
      </c>
      <c r="H230" s="10" t="s">
        <v>1661</v>
      </c>
    </row>
    <row r="231" spans="1:8" ht="54.6" hidden="1" customHeight="1" x14ac:dyDescent="0.3">
      <c r="A231" s="9" t="s">
        <v>1438</v>
      </c>
      <c r="B231" s="9" t="s">
        <v>1275</v>
      </c>
      <c r="C231" s="9" t="s">
        <v>1662</v>
      </c>
      <c r="D231" s="9">
        <v>624</v>
      </c>
      <c r="E231" s="9">
        <v>5</v>
      </c>
      <c r="F231" s="9">
        <v>321.3</v>
      </c>
      <c r="G231" s="14" t="s">
        <v>1224</v>
      </c>
      <c r="H231" s="10" t="s">
        <v>1374</v>
      </c>
    </row>
    <row r="232" spans="1:8" ht="54.6" hidden="1" customHeight="1" x14ac:dyDescent="0.3">
      <c r="A232" s="9" t="s">
        <v>1458</v>
      </c>
      <c r="B232" s="9" t="s">
        <v>1353</v>
      </c>
      <c r="C232" s="9" t="s">
        <v>1663</v>
      </c>
      <c r="D232" s="9">
        <v>1250</v>
      </c>
      <c r="E232" s="9">
        <v>16</v>
      </c>
      <c r="F232" s="9">
        <v>862.2</v>
      </c>
      <c r="G232" s="14" t="s">
        <v>1224</v>
      </c>
      <c r="H232" s="10" t="s">
        <v>1664</v>
      </c>
    </row>
    <row r="233" spans="1:8" ht="54.6" hidden="1" customHeight="1" x14ac:dyDescent="0.3">
      <c r="A233" s="9" t="s">
        <v>1234</v>
      </c>
      <c r="B233" s="9" t="s">
        <v>1340</v>
      </c>
      <c r="C233" s="9" t="s">
        <v>1665</v>
      </c>
      <c r="D233" s="9">
        <v>916</v>
      </c>
      <c r="E233" s="9">
        <v>13</v>
      </c>
      <c r="F233" s="9">
        <v>942.2</v>
      </c>
      <c r="G233" s="14" t="s">
        <v>1224</v>
      </c>
      <c r="H233" s="10" t="s">
        <v>1666</v>
      </c>
    </row>
    <row r="234" spans="1:8" ht="54.6" hidden="1" customHeight="1" x14ac:dyDescent="0.3">
      <c r="A234" s="9" t="s">
        <v>1234</v>
      </c>
      <c r="B234" s="9" t="s">
        <v>1452</v>
      </c>
      <c r="C234" s="9" t="s">
        <v>1667</v>
      </c>
      <c r="D234" s="9">
        <v>257</v>
      </c>
      <c r="E234" s="9">
        <v>6</v>
      </c>
      <c r="F234" s="9">
        <v>570.70000000000005</v>
      </c>
      <c r="G234" s="14" t="s">
        <v>1224</v>
      </c>
      <c r="H234" s="10" t="s">
        <v>1668</v>
      </c>
    </row>
    <row r="235" spans="1:8" ht="54.6" hidden="1" customHeight="1" x14ac:dyDescent="0.3">
      <c r="A235" s="9" t="s">
        <v>1643</v>
      </c>
      <c r="B235" s="9" t="s">
        <v>1226</v>
      </c>
      <c r="C235" s="9" t="s">
        <v>1669</v>
      </c>
      <c r="D235" s="9">
        <v>525</v>
      </c>
      <c r="E235" s="9">
        <v>5</v>
      </c>
      <c r="F235" s="9">
        <v>458.4</v>
      </c>
      <c r="G235" s="14" t="s">
        <v>1224</v>
      </c>
      <c r="H235" s="10" t="s">
        <v>1670</v>
      </c>
    </row>
    <row r="236" spans="1:8" ht="54.6" hidden="1" customHeight="1" x14ac:dyDescent="0.3">
      <c r="A236" s="9" t="s">
        <v>1671</v>
      </c>
      <c r="B236" s="9" t="s">
        <v>1226</v>
      </c>
      <c r="C236" s="9" t="s">
        <v>1672</v>
      </c>
      <c r="D236" s="9">
        <v>523</v>
      </c>
      <c r="E236" s="9">
        <v>1</v>
      </c>
      <c r="F236" s="9">
        <v>78.3</v>
      </c>
      <c r="G236" s="14" t="s">
        <v>1224</v>
      </c>
      <c r="H236" s="10" t="s">
        <v>1262</v>
      </c>
    </row>
    <row r="237" spans="1:8" ht="54.6" hidden="1" customHeight="1" x14ac:dyDescent="0.3">
      <c r="A237" s="9" t="s">
        <v>1673</v>
      </c>
      <c r="B237" s="9" t="s">
        <v>1353</v>
      </c>
      <c r="C237" s="9" t="s">
        <v>1674</v>
      </c>
      <c r="D237" s="9">
        <v>1475</v>
      </c>
      <c r="E237" s="9">
        <v>14</v>
      </c>
      <c r="F237" s="9">
        <v>664.2</v>
      </c>
      <c r="G237" s="14" t="s">
        <v>1224</v>
      </c>
      <c r="H237" s="10" t="s">
        <v>1675</v>
      </c>
    </row>
    <row r="238" spans="1:8" ht="54.6" hidden="1" customHeight="1" x14ac:dyDescent="0.3">
      <c r="A238" s="9" t="s">
        <v>1336</v>
      </c>
      <c r="B238" s="9" t="s">
        <v>1676</v>
      </c>
      <c r="C238" s="9" t="s">
        <v>1677</v>
      </c>
      <c r="D238" s="9">
        <v>626</v>
      </c>
      <c r="E238" s="9">
        <v>8</v>
      </c>
      <c r="F238" s="9">
        <v>922.5</v>
      </c>
      <c r="G238" s="14" t="s">
        <v>1224</v>
      </c>
      <c r="H238" s="10" t="s">
        <v>1678</v>
      </c>
    </row>
    <row r="239" spans="1:8" ht="54.6" hidden="1" customHeight="1" x14ac:dyDescent="0.3">
      <c r="A239" s="9" t="s">
        <v>1278</v>
      </c>
      <c r="B239" s="9" t="s">
        <v>1247</v>
      </c>
      <c r="C239" s="9" t="s">
        <v>1679</v>
      </c>
      <c r="D239" s="9">
        <v>427</v>
      </c>
      <c r="E239" s="9">
        <v>10</v>
      </c>
      <c r="F239" s="9">
        <v>859.4</v>
      </c>
      <c r="G239" s="14" t="s">
        <v>1224</v>
      </c>
      <c r="H239" s="10" t="s">
        <v>1680</v>
      </c>
    </row>
    <row r="240" spans="1:8" ht="54.6" hidden="1" customHeight="1" x14ac:dyDescent="0.3">
      <c r="A240" s="9" t="s">
        <v>1234</v>
      </c>
      <c r="B240" s="9" t="s">
        <v>1230</v>
      </c>
      <c r="C240" s="9" t="s">
        <v>1681</v>
      </c>
      <c r="D240" s="9">
        <v>1219</v>
      </c>
      <c r="E240" s="9">
        <v>15</v>
      </c>
      <c r="F240" s="9">
        <v>1680.1</v>
      </c>
      <c r="G240" s="14" t="s">
        <v>1224</v>
      </c>
      <c r="H240" s="10" t="s">
        <v>1682</v>
      </c>
    </row>
    <row r="241" spans="1:8" ht="54.6" hidden="1" customHeight="1" x14ac:dyDescent="0.3">
      <c r="A241" s="9" t="s">
        <v>1466</v>
      </c>
      <c r="B241" s="9" t="s">
        <v>1275</v>
      </c>
      <c r="C241" s="9" t="s">
        <v>1683</v>
      </c>
      <c r="D241" s="9">
        <v>717</v>
      </c>
      <c r="E241" s="9">
        <v>8</v>
      </c>
      <c r="F241" s="9">
        <v>642.6</v>
      </c>
      <c r="G241" s="14" t="s">
        <v>1224</v>
      </c>
      <c r="H241" s="10" t="s">
        <v>1684</v>
      </c>
    </row>
    <row r="242" spans="1:8" ht="54.6" hidden="1" customHeight="1" x14ac:dyDescent="0.3">
      <c r="A242" s="9"/>
      <c r="B242" s="9"/>
      <c r="C242" s="9" t="s">
        <v>1685</v>
      </c>
      <c r="D242" s="9">
        <v>414</v>
      </c>
      <c r="E242" s="9"/>
      <c r="F242" s="9">
        <v>860.4</v>
      </c>
      <c r="G242" s="14"/>
      <c r="H242" s="10"/>
    </row>
    <row r="243" spans="1:8" ht="54.6" hidden="1" customHeight="1" x14ac:dyDescent="0.3">
      <c r="A243" s="9"/>
      <c r="B243" s="9"/>
      <c r="C243" s="9" t="s">
        <v>1686</v>
      </c>
      <c r="D243" s="9">
        <v>962</v>
      </c>
      <c r="E243" s="9"/>
      <c r="F243" s="9">
        <v>1104</v>
      </c>
      <c r="G243" s="14"/>
      <c r="H243" s="10"/>
    </row>
    <row r="244" spans="1:8" ht="54.6" hidden="1" customHeight="1" x14ac:dyDescent="0.3">
      <c r="A244" s="9"/>
      <c r="B244" s="9"/>
      <c r="C244" s="9" t="s">
        <v>121</v>
      </c>
      <c r="D244" s="9">
        <v>636</v>
      </c>
      <c r="E244" s="9"/>
      <c r="F244" s="9">
        <v>326</v>
      </c>
      <c r="G244" s="14"/>
      <c r="H244" s="10"/>
    </row>
    <row r="245" spans="1:8" ht="54.6" hidden="1" customHeight="1" x14ac:dyDescent="0.3">
      <c r="A245" s="9"/>
      <c r="B245" s="9"/>
      <c r="C245" s="9" t="s">
        <v>1687</v>
      </c>
      <c r="D245" s="9">
        <v>516</v>
      </c>
      <c r="E245" s="9"/>
      <c r="F245" s="9"/>
      <c r="G245" s="14"/>
      <c r="H245" s="10"/>
    </row>
    <row r="246" spans="1:8" ht="54.6" hidden="1" customHeight="1" x14ac:dyDescent="0.3">
      <c r="A246" s="9"/>
      <c r="B246" s="9"/>
      <c r="C246" s="9" t="s">
        <v>1688</v>
      </c>
      <c r="D246" s="9">
        <v>1489</v>
      </c>
      <c r="E246" s="9"/>
      <c r="F246" s="9"/>
      <c r="G246" s="14"/>
      <c r="H246" s="10"/>
    </row>
    <row r="247" spans="1:8" ht="54.6" hidden="1" customHeight="1" x14ac:dyDescent="0.3">
      <c r="A247" s="9"/>
      <c r="B247" s="9"/>
      <c r="C247" s="9" t="s">
        <v>1689</v>
      </c>
      <c r="D247" s="9">
        <v>1031</v>
      </c>
      <c r="E247" s="9"/>
      <c r="F247" s="9"/>
      <c r="G247" s="14"/>
      <c r="H247" s="10"/>
    </row>
    <row r="248" spans="1:8" ht="54.6" hidden="1" customHeight="1" x14ac:dyDescent="0.3">
      <c r="A248" s="9"/>
      <c r="B248" s="9"/>
      <c r="C248" s="9" t="s">
        <v>1690</v>
      </c>
      <c r="D248" s="9">
        <v>493</v>
      </c>
      <c r="E248" s="9"/>
      <c r="F248" s="9"/>
      <c r="G248" s="14"/>
      <c r="H248" s="10"/>
    </row>
    <row r="249" spans="1:8" ht="54.6" hidden="1" customHeight="1" x14ac:dyDescent="0.3">
      <c r="A249" s="9"/>
      <c r="B249" s="9"/>
      <c r="C249" s="9" t="s">
        <v>1691</v>
      </c>
      <c r="D249" s="9">
        <v>588</v>
      </c>
      <c r="E249" s="9"/>
      <c r="F249" s="9"/>
      <c r="G249" s="14"/>
      <c r="H249" s="10"/>
    </row>
    <row r="250" spans="1:8" ht="54.6" hidden="1" customHeight="1" x14ac:dyDescent="0.3">
      <c r="A250" s="9"/>
      <c r="B250" s="9"/>
      <c r="C250" s="9" t="s">
        <v>1659</v>
      </c>
      <c r="D250" s="9">
        <v>60</v>
      </c>
      <c r="E250" s="9"/>
      <c r="F250" s="9"/>
      <c r="G250" s="14"/>
      <c r="H250" s="10"/>
    </row>
    <row r="251" spans="1:8" ht="54.6" hidden="1" customHeight="1" x14ac:dyDescent="0.3">
      <c r="A251" s="9"/>
      <c r="B251" s="9"/>
      <c r="C251" s="9" t="s">
        <v>1692</v>
      </c>
      <c r="D251" s="9">
        <v>481</v>
      </c>
      <c r="E251" s="9"/>
      <c r="F251" s="9"/>
      <c r="G251" s="14"/>
      <c r="H251" s="10"/>
    </row>
    <row r="252" spans="1:8" ht="54.6" hidden="1" customHeight="1" x14ac:dyDescent="0.3">
      <c r="A252" s="9"/>
      <c r="B252" s="9"/>
      <c r="C252" s="9" t="s">
        <v>1672</v>
      </c>
      <c r="D252" s="9">
        <v>530</v>
      </c>
      <c r="E252" s="9"/>
      <c r="F252" s="9"/>
      <c r="G252" s="14"/>
      <c r="H252" s="10"/>
    </row>
    <row r="253" spans="1:8" ht="54.6" hidden="1" customHeight="1" x14ac:dyDescent="0.3">
      <c r="A253" s="9"/>
      <c r="B253" s="9"/>
      <c r="C253" s="9" t="s">
        <v>1693</v>
      </c>
      <c r="D253" s="9">
        <v>739</v>
      </c>
      <c r="E253" s="9"/>
      <c r="F253" s="9"/>
      <c r="G253" s="14"/>
      <c r="H253" s="10"/>
    </row>
    <row r="254" spans="1:8" ht="54.6" hidden="1" customHeight="1" x14ac:dyDescent="0.3">
      <c r="A254" s="9"/>
      <c r="B254" s="9"/>
      <c r="C254" s="9" t="s">
        <v>1694</v>
      </c>
      <c r="D254" s="9">
        <v>767</v>
      </c>
      <c r="E254" s="9"/>
      <c r="F254" s="9"/>
      <c r="G254" s="14"/>
      <c r="H254" s="10"/>
    </row>
    <row r="255" spans="1:8" ht="54.6" hidden="1" customHeight="1" x14ac:dyDescent="0.3">
      <c r="A255" s="9" t="s">
        <v>1492</v>
      </c>
      <c r="B255" s="9" t="s">
        <v>1695</v>
      </c>
      <c r="C255" s="9" t="s">
        <v>114</v>
      </c>
      <c r="D255" s="9">
        <v>1109</v>
      </c>
      <c r="E255" s="9">
        <v>12</v>
      </c>
      <c r="F255" s="9">
        <v>572.4</v>
      </c>
      <c r="G255" s="14"/>
      <c r="H255" s="10"/>
    </row>
    <row r="256" spans="1:8" ht="54.6" hidden="1" customHeight="1" x14ac:dyDescent="0.3">
      <c r="A256" s="9" t="s">
        <v>1397</v>
      </c>
      <c r="B256" s="9" t="s">
        <v>1270</v>
      </c>
      <c r="C256" s="9" t="s">
        <v>123</v>
      </c>
      <c r="D256" s="9">
        <v>1123</v>
      </c>
      <c r="E256" s="9">
        <v>3</v>
      </c>
      <c r="F256" s="9">
        <v>148.5</v>
      </c>
      <c r="G256" s="14"/>
      <c r="H256" s="10"/>
    </row>
    <row r="257" spans="1:8" ht="54.6" hidden="1" customHeight="1" x14ac:dyDescent="0.3">
      <c r="A257" s="9" t="s">
        <v>1696</v>
      </c>
      <c r="B257" s="9" t="s">
        <v>1226</v>
      </c>
      <c r="C257" s="9" t="s">
        <v>133</v>
      </c>
      <c r="D257" s="9">
        <v>580</v>
      </c>
      <c r="E257" s="9">
        <v>7</v>
      </c>
      <c r="F257" s="9">
        <v>689.4</v>
      </c>
      <c r="G257" s="14"/>
      <c r="H257" s="10"/>
    </row>
    <row r="258" spans="1:8" ht="54.6" hidden="1" customHeight="1" x14ac:dyDescent="0.3">
      <c r="A258" s="9" t="s">
        <v>1697</v>
      </c>
      <c r="B258" s="9" t="s">
        <v>1226</v>
      </c>
      <c r="C258" s="9" t="s">
        <v>125</v>
      </c>
      <c r="D258" s="9">
        <v>689</v>
      </c>
      <c r="E258" s="9"/>
      <c r="F258" s="9">
        <v>403.2</v>
      </c>
      <c r="G258" s="14"/>
      <c r="H258" s="10"/>
    </row>
    <row r="259" spans="1:8" ht="54.6" hidden="1" customHeight="1" x14ac:dyDescent="0.3">
      <c r="A259" s="9" t="s">
        <v>1237</v>
      </c>
      <c r="B259" s="9" t="s">
        <v>1221</v>
      </c>
      <c r="C259" s="9" t="s">
        <v>128</v>
      </c>
      <c r="D259" s="9">
        <v>195</v>
      </c>
      <c r="E259" s="9"/>
      <c r="F259" s="9">
        <v>691.2</v>
      </c>
      <c r="G259" s="14"/>
      <c r="H259" s="10"/>
    </row>
    <row r="260" spans="1:8" ht="54.6" hidden="1" customHeight="1" x14ac:dyDescent="0.3">
      <c r="A260" s="9" t="s">
        <v>1237</v>
      </c>
      <c r="B260" s="9" t="s">
        <v>1676</v>
      </c>
      <c r="C260" s="9" t="s">
        <v>131</v>
      </c>
      <c r="D260" s="9">
        <v>354</v>
      </c>
      <c r="E260" s="9">
        <v>5</v>
      </c>
      <c r="F260" s="9">
        <v>620.1</v>
      </c>
      <c r="G260" s="14"/>
      <c r="H260" s="10"/>
    </row>
    <row r="261" spans="1:8" ht="54.6" hidden="1" customHeight="1" x14ac:dyDescent="0.3">
      <c r="A261" s="9" t="s">
        <v>1237</v>
      </c>
      <c r="B261" s="9" t="s">
        <v>1267</v>
      </c>
      <c r="C261" s="9" t="s">
        <v>126</v>
      </c>
      <c r="D261" s="9">
        <v>518</v>
      </c>
      <c r="E261" s="9">
        <v>6</v>
      </c>
      <c r="F261" s="9">
        <v>753.3</v>
      </c>
      <c r="G261" s="14"/>
      <c r="H261" s="10"/>
    </row>
    <row r="262" spans="1:8" ht="54.6" hidden="1" customHeight="1" x14ac:dyDescent="0.3">
      <c r="A262" s="9" t="s">
        <v>1237</v>
      </c>
      <c r="B262" s="9" t="s">
        <v>1399</v>
      </c>
      <c r="C262" s="9" t="s">
        <v>127</v>
      </c>
      <c r="D262" s="9">
        <v>485</v>
      </c>
      <c r="E262" s="9">
        <v>6</v>
      </c>
      <c r="F262" s="9">
        <v>753.3</v>
      </c>
      <c r="G262" s="14"/>
      <c r="H262" s="10"/>
    </row>
    <row r="263" spans="1:8" ht="54.6" customHeight="1" x14ac:dyDescent="0.3">
      <c r="A263" s="9" t="s">
        <v>1607</v>
      </c>
      <c r="B263" s="9" t="s">
        <v>1222</v>
      </c>
      <c r="C263" s="9" t="s">
        <v>119</v>
      </c>
      <c r="D263" s="9">
        <v>782</v>
      </c>
      <c r="E263" s="9">
        <v>7</v>
      </c>
      <c r="F263" s="9">
        <v>413.95</v>
      </c>
      <c r="G263" s="14"/>
      <c r="H263" s="10"/>
    </row>
    <row r="264" spans="1:8" ht="54.6" hidden="1" customHeight="1" x14ac:dyDescent="0.3">
      <c r="A264" s="9" t="s">
        <v>1585</v>
      </c>
      <c r="B264" s="9" t="s">
        <v>1275</v>
      </c>
      <c r="C264" s="9" t="s">
        <v>130</v>
      </c>
      <c r="D264" s="9">
        <v>716</v>
      </c>
      <c r="E264" s="9">
        <v>8</v>
      </c>
      <c r="F264" s="9">
        <v>691.2</v>
      </c>
      <c r="G264" s="14"/>
      <c r="H264" s="10"/>
    </row>
    <row r="265" spans="1:8" ht="54.6" hidden="1" customHeight="1" x14ac:dyDescent="0.3">
      <c r="A265" s="9" t="s">
        <v>1222</v>
      </c>
      <c r="B265" s="9" t="s">
        <v>1452</v>
      </c>
      <c r="C265" s="9" t="s">
        <v>1698</v>
      </c>
      <c r="D265" s="9">
        <v>405</v>
      </c>
      <c r="E265" s="9">
        <v>9</v>
      </c>
      <c r="F265" s="9">
        <v>864</v>
      </c>
      <c r="G265" s="14"/>
      <c r="H265" s="10"/>
    </row>
    <row r="266" spans="1:8" ht="54.6" hidden="1" customHeight="1" x14ac:dyDescent="0.3">
      <c r="A266" s="9" t="s">
        <v>1363</v>
      </c>
      <c r="B266" s="9" t="s">
        <v>1275</v>
      </c>
      <c r="C266" s="9" t="s">
        <v>1699</v>
      </c>
      <c r="D266" s="9">
        <v>711</v>
      </c>
      <c r="E266" s="9">
        <v>8</v>
      </c>
      <c r="F266" s="9">
        <v>691.2</v>
      </c>
      <c r="G266" s="14"/>
      <c r="H266" s="10"/>
    </row>
    <row r="267" spans="1:8" ht="54.6" hidden="1" customHeight="1" x14ac:dyDescent="0.3">
      <c r="A267" s="9" t="s">
        <v>1492</v>
      </c>
      <c r="B267" s="9" t="s">
        <v>1444</v>
      </c>
      <c r="C267" s="9" t="s">
        <v>1700</v>
      </c>
      <c r="D267" s="9">
        <v>1000</v>
      </c>
      <c r="E267" s="9">
        <v>11</v>
      </c>
      <c r="F267" s="9">
        <v>576.9</v>
      </c>
      <c r="G267" s="14"/>
      <c r="H267" s="10"/>
    </row>
    <row r="268" spans="1:8" ht="54.6" hidden="1" customHeight="1" x14ac:dyDescent="0.3">
      <c r="A268" s="9" t="s">
        <v>1430</v>
      </c>
      <c r="B268" s="9" t="s">
        <v>1464</v>
      </c>
      <c r="C268" s="9" t="s">
        <v>1701</v>
      </c>
      <c r="D268" s="9">
        <v>1124</v>
      </c>
      <c r="E268" s="9">
        <v>9</v>
      </c>
      <c r="F268" s="9">
        <v>418.5</v>
      </c>
      <c r="G268" s="14"/>
      <c r="H268" s="10"/>
    </row>
    <row r="269" spans="1:8" ht="54.6" hidden="1" customHeight="1" x14ac:dyDescent="0.3">
      <c r="A269" s="9" t="s">
        <v>1281</v>
      </c>
      <c r="B269" s="9" t="s">
        <v>1452</v>
      </c>
      <c r="C269" s="9" t="s">
        <v>1702</v>
      </c>
      <c r="D269" s="9">
        <v>933</v>
      </c>
      <c r="E269" s="9">
        <v>7</v>
      </c>
      <c r="F269" s="9">
        <v>644.4</v>
      </c>
      <c r="G269" s="14"/>
      <c r="H269" s="10"/>
    </row>
    <row r="270" spans="1:8" ht="54.6" hidden="1" customHeight="1" x14ac:dyDescent="0.3">
      <c r="A270" s="9" t="s">
        <v>1607</v>
      </c>
      <c r="B270" s="9" t="s">
        <v>1695</v>
      </c>
      <c r="C270" s="9" t="s">
        <v>1703</v>
      </c>
      <c r="D270" s="9">
        <v>896</v>
      </c>
      <c r="E270" s="9">
        <v>11</v>
      </c>
      <c r="F270" s="9">
        <v>528.29999999999995</v>
      </c>
      <c r="G270" s="14"/>
      <c r="H270" s="10"/>
    </row>
    <row r="271" spans="1:8" ht="54.6" hidden="1" customHeight="1" x14ac:dyDescent="0.3">
      <c r="A271" s="9" t="s">
        <v>1278</v>
      </c>
      <c r="B271" s="9" t="s">
        <v>1351</v>
      </c>
      <c r="C271" s="9" t="s">
        <v>132</v>
      </c>
      <c r="D271" s="9">
        <v>794</v>
      </c>
      <c r="E271" s="9">
        <v>10</v>
      </c>
      <c r="F271" s="9">
        <v>1057.5</v>
      </c>
      <c r="G271" s="14"/>
      <c r="H271" s="10"/>
    </row>
    <row r="272" spans="1:8" ht="54.6" hidden="1" customHeight="1" x14ac:dyDescent="0.3">
      <c r="A272" s="9" t="s">
        <v>1704</v>
      </c>
      <c r="B272" s="9" t="s">
        <v>1226</v>
      </c>
      <c r="C272" s="9" t="s">
        <v>1705</v>
      </c>
      <c r="D272" s="9">
        <v>701</v>
      </c>
      <c r="E272" s="9">
        <v>14</v>
      </c>
      <c r="F272" s="9">
        <v>997.6</v>
      </c>
      <c r="G272" s="14"/>
      <c r="H272" s="10"/>
    </row>
    <row r="273" spans="1:8" ht="54.6" hidden="1" customHeight="1" x14ac:dyDescent="0.3">
      <c r="A273" s="9" t="s">
        <v>1697</v>
      </c>
      <c r="B273" s="9" t="s">
        <v>1281</v>
      </c>
      <c r="C273" s="9" t="s">
        <v>1706</v>
      </c>
      <c r="D273" s="9">
        <v>1087</v>
      </c>
      <c r="E273" s="9">
        <v>0</v>
      </c>
      <c r="F273" s="9">
        <v>0</v>
      </c>
      <c r="G273" s="14"/>
      <c r="H273" s="10"/>
    </row>
    <row r="274" spans="1:8" ht="54.6" hidden="1" customHeight="1" x14ac:dyDescent="0.3">
      <c r="A274" s="9" t="s">
        <v>1638</v>
      </c>
      <c r="B274" s="9" t="s">
        <v>1270</v>
      </c>
      <c r="C274" s="9" t="s">
        <v>1707</v>
      </c>
      <c r="D274" s="9">
        <v>1253</v>
      </c>
      <c r="E274" s="9">
        <v>17</v>
      </c>
      <c r="F274" s="9">
        <v>1050.3</v>
      </c>
      <c r="G274" s="14"/>
      <c r="H274" s="10"/>
    </row>
    <row r="275" spans="1:8" ht="54.6" hidden="1" customHeight="1" x14ac:dyDescent="0.3">
      <c r="A275" s="9" t="s">
        <v>1237</v>
      </c>
      <c r="B275" s="9" t="s">
        <v>1441</v>
      </c>
      <c r="C275" s="9" t="s">
        <v>1708</v>
      </c>
      <c r="D275" s="9">
        <v>647</v>
      </c>
      <c r="E275" s="9">
        <v>6</v>
      </c>
      <c r="F275" s="9">
        <v>753.3</v>
      </c>
      <c r="G275" s="14"/>
      <c r="H275" s="10"/>
    </row>
    <row r="276" spans="1:8" ht="54.6" hidden="1" customHeight="1" x14ac:dyDescent="0.3">
      <c r="A276" s="9" t="s">
        <v>1492</v>
      </c>
      <c r="B276" s="9" t="s">
        <v>1464</v>
      </c>
      <c r="C276" s="9" t="s">
        <v>1709</v>
      </c>
      <c r="D276" s="9">
        <v>1002</v>
      </c>
      <c r="E276" s="9">
        <v>11</v>
      </c>
      <c r="F276" s="9">
        <v>576.9</v>
      </c>
      <c r="G276" s="14"/>
      <c r="H276" s="10"/>
    </row>
    <row r="277" spans="1:8" ht="54.6" hidden="1" customHeight="1" x14ac:dyDescent="0.3">
      <c r="A277" s="9" t="s">
        <v>1430</v>
      </c>
      <c r="B277" s="9" t="s">
        <v>1444</v>
      </c>
      <c r="C277" s="9" t="s">
        <v>1710</v>
      </c>
      <c r="D277" s="9">
        <v>1120</v>
      </c>
      <c r="E277" s="9">
        <v>9</v>
      </c>
      <c r="F277" s="9">
        <v>418.5</v>
      </c>
      <c r="G277" s="14"/>
      <c r="H277" s="10"/>
    </row>
    <row r="278" spans="1:8" hidden="1" x14ac:dyDescent="0.3">
      <c r="A278" s="9" t="s">
        <v>1237</v>
      </c>
      <c r="B278" s="9" t="s">
        <v>1267</v>
      </c>
      <c r="C278" s="9" t="s">
        <v>1796</v>
      </c>
      <c r="D278" s="9">
        <v>518</v>
      </c>
      <c r="E278" s="9">
        <v>6</v>
      </c>
      <c r="F278" s="9">
        <v>753.3</v>
      </c>
      <c r="G278" s="14"/>
      <c r="H278" s="10"/>
    </row>
    <row r="279" spans="1:8" hidden="1" x14ac:dyDescent="0.3">
      <c r="A279" s="8" t="s">
        <v>1697</v>
      </c>
      <c r="B279" s="8" t="s">
        <v>1270</v>
      </c>
      <c r="C279" s="8" t="s">
        <v>1797</v>
      </c>
      <c r="D279" s="8">
        <v>1488</v>
      </c>
      <c r="E279" s="8">
        <v>21</v>
      </c>
      <c r="F279" s="8">
        <v>1463.4</v>
      </c>
    </row>
    <row r="280" spans="1:8" ht="54.6" customHeight="1" x14ac:dyDescent="0.3">
      <c r="A280" s="9" t="s">
        <v>1278</v>
      </c>
      <c r="B280" s="9" t="s">
        <v>1222</v>
      </c>
      <c r="C280" s="9" t="s">
        <v>1798</v>
      </c>
      <c r="D280" s="9">
        <v>20</v>
      </c>
      <c r="E280" s="9">
        <v>0</v>
      </c>
      <c r="F280" s="9">
        <v>0</v>
      </c>
      <c r="G280" s="14"/>
      <c r="H280" s="10"/>
    </row>
    <row r="281" spans="1:8" ht="54.6" customHeight="1" x14ac:dyDescent="0.3">
      <c r="A281" s="9" t="s">
        <v>1270</v>
      </c>
      <c r="B281" s="9" t="s">
        <v>1459</v>
      </c>
      <c r="C281" s="9" t="s">
        <v>1799</v>
      </c>
      <c r="D281" s="9">
        <v>439</v>
      </c>
      <c r="E281" s="9"/>
      <c r="F281" s="9">
        <v>198</v>
      </c>
      <c r="G281" s="14"/>
      <c r="H281" s="10"/>
    </row>
    <row r="282" spans="1:8" ht="54.6" customHeight="1" x14ac:dyDescent="0.3">
      <c r="A282" s="9" t="s">
        <v>1455</v>
      </c>
      <c r="B282" s="9" t="s">
        <v>1270</v>
      </c>
      <c r="C282" s="9" t="s">
        <v>1800</v>
      </c>
      <c r="D282" s="9">
        <v>1252</v>
      </c>
      <c r="E282" s="9">
        <v>20</v>
      </c>
      <c r="F282" s="9">
        <v>1303.2</v>
      </c>
      <c r="G282" s="14"/>
      <c r="H282" s="10"/>
    </row>
    <row r="283" spans="1:8" ht="54.6" customHeight="1" x14ac:dyDescent="0.3">
      <c r="A283" s="9" t="s">
        <v>1397</v>
      </c>
      <c r="B283" s="9" t="s">
        <v>1275</v>
      </c>
      <c r="C283" s="9" t="s">
        <v>1801</v>
      </c>
      <c r="D283" s="9">
        <v>719</v>
      </c>
      <c r="E283" s="9">
        <v>8</v>
      </c>
      <c r="F283" s="9">
        <v>691.2</v>
      </c>
      <c r="G283" s="14"/>
      <c r="H283" s="10"/>
    </row>
    <row r="284" spans="1:8" ht="54.6" customHeight="1" x14ac:dyDescent="0.3">
      <c r="A284" s="9" t="s">
        <v>1423</v>
      </c>
      <c r="B284" s="9" t="s">
        <v>1275</v>
      </c>
      <c r="C284" s="9" t="s">
        <v>1802</v>
      </c>
      <c r="D284" s="9">
        <v>958</v>
      </c>
      <c r="E284" s="9">
        <v>8</v>
      </c>
      <c r="F284" s="9">
        <v>691.2</v>
      </c>
      <c r="G284" s="14"/>
      <c r="H284" s="10"/>
    </row>
  </sheetData>
  <autoFilter ref="A1:H279" xr:uid="{59CCA1A4-4249-4383-AB2F-A508903BFC21}">
    <filterColumn colId="1">
      <filters>
        <filter val="CUBATAO,SP"/>
      </filters>
    </filterColumn>
  </autoFilter>
  <hyperlinks>
    <hyperlink ref="G2" r:id="rId1" display="https://qualp.com.br?data=XkZenxyw8jRwM22-_Y_3Zm5T4kKeNyvQ1M06Bdpemv7P_icMbw7yRxpllMcc5g_0eSbjrIEDpcTuRyshqisHOVH6INLKNy89-geTatCh3IG_pk4yzpCC3QhdLJw7Ctkysr7uaOzdVfIa66KnQY6_dmOCEK96yRGE3_OB1aLBaXqWr3603JlNXJ7wdcvbemxhoSNu9ycr_8TdhSAvEhe8faKhMMlrmD7CveDnjRfsaExQLnM9e4QdmTzCxh2CRIJKIs6QSxo3SnEiBiS17PlLWhanYmUwDVGy7f6b8QdlDZ85ziDU3WYHtO3LtYkOzGFOAQ-HKXgetREczz3Xe0_zRGBTLXMkFOEYWh0DSkkRm_cSdbizMAJA2oKXp8BQLGdzFnMIT8AkjaeYhLMfrv5fL0HQmZzwrXClH2Ho_gR8GUT_YutKGSE5MJObFKzVw0yvGFd6hl2WAjEOyG9xip1qPuhgxOi0cYPQUqfMm7LorM3ecIjCKgsUjRwuv_yf3uPUgC9e_RVJAYqVEyWJ2DZKN2FGpDhUwkuGm91vg8KqW0aocK6XnsddsKSaIcGlBiPn&amp;type_route=efficient" xr:uid="{3A6D27F5-398C-4151-AB2E-627BD8D6F2FD}"/>
    <hyperlink ref="G3" r:id="rId2" display="https://qualp.com.br?data=SUDs-yDFzOZ_g2_ZiVBypcCGjcSQCTzssk-Pqgv78Va1QIQBzIutVxDskg7cvdYtqz-sX7yrFtBHXk2JcWSJvqWdkcL3fXbyJncwZ9cbAtf9EzvLkGDcXTpnb82E2jvC6zv4uZBPkube1br2LLU3231cDwhQHkLBMmb70kVrU41WmoAdgPoIbNVeHfF1WqbAg0GENCJ-NtUdm_NmNapkQUosxxB424b8wK6ra62Z5jgAacEq5Exzguyf8ajThlc5u67qgCb0LUpm_HOM8AFzfnzsjonSW_2f2j6E9uxt31g6qniJMBAnvrD0ttNpL0C-ZUDn7lJYwjQZUJuX--Yh4mjotHwWq280aKrmzvzYmKjRlpVZPe-FS0fqTafNHLYmaS2hhvtWu7uoUahTwmeh7VKeEqbHFptT0ZUa8rryTgqDzE6QbDRFXUtu-Zs6S7gEnxbuiPRptn5f8fpspOAazngQxOjNCKaLLcBlnAObDra0Ws8HzvJxh272XTh2I7_X8m1wpaV8NVYN7PJi8CN0jWS9ATtkgOT96u_PcMN4dtQrf070f9r0PWTpFKwHaOjX7Le2o9Ppi9qTWA&amp;type_route=efficient" xr:uid="{472BE6D7-EA4A-41F5-ACA2-A6E550D9A39A}"/>
    <hyperlink ref="G4" r:id="rId3" display="https://qualp.com.br?data=q9fK6Hg9JLN35a6_zZ7lWWrnm6pAD8lLvgsEWQe0a7n2ZvLV1cTM62QrbO2voXtu1soLMnz7EC3YQWSo9Bcm53f7JlAGVAlkimBDDlFXUy92YD4ze5AYPHLbQgWKjiSpTKzh8UVNG0EnhOt19hcp8rQbXKVFNRmK6KDpWbpkZrbXBtoUBu7wvEuzGv920yF4Dc3k-MicZdR7OQqOB3yQGOtKdqDubeIFpoRApWCCm7mndzK8SZAZMdk7Tj2cjbd0dzK27cgBSUozI7V42YUXaTxfuA_dyR9sq_BpdzKB2aczDgvGf2KQj-aBSqcnXeoAvRvgYS2C-ex9rRzRRuWYEGz3-xuX2tCMuOcpCZtCQGNfd6R0NBH_Gp1a7kLf1Wejd74ojVGWE1FZIQAek338kPDcAkCbk8UqzfxC-LnmZczP62aC9J5ov_igC6EaoafnzwRoQWIyf52DQrvWz2b52CEZ4NKrF0BIZuH-WC3e9q1LF58vEHp38GYPonKtVuW0mUBwbff96yB7AsgGfQ9jxiT8CMIHbvv9_3Vy52TQGp6fS8S4EM1XO5EpWMtGwVlpNysvZ_7E_AZi&amp;type_route=efficient" xr:uid="{B3F27019-7CFD-4A83-9F29-8F2B6945B5E8}"/>
    <hyperlink ref="G5" r:id="rId4" display="https://qualp.com.br?data=11ieN2t6UVdSuM2ktK0vrnq-EcSc2t2Qsl4vKs0skqtqm5W0UBEvKG1dtx0Uoc67blLr3ZHcsHwVidczxl_vdw03taA4soekLB7IMbp7LVhvL6YMbRWMKiDkSfb8spy948i1kQiOE98FweCDgV2p38nhTBsVWbBFxDRxBgjwxgYp17b25NkulGgUc_TSiWpEA19qDcYNU3G-gP-BsQOuIGqpg0cdGDcJKWjXmkDDakWjRdTA2IMcTEp6H5NxuUxTUfLOIx3uXQNjdnHKBdbZqQBSgAhnzfrV9VIpNTWzmegDbI5D5Na47K9DE7fRu6MgadFKmarM7dJlr2u9zSvGpDFK0uQ5dK3LZvIhQfvHZfs1xa2StBC7XQ5DqHYWfnZm-cyVOpdCvCdU0bDehJsCkxksiQQ28sMlit07yp1kyIgA-MMolnBqUD3pS07zHK3QAkDl0p5VUrf67fxlWXNsXqHgUm-WAyEWNtW_8EuY3Nhv-cO0uy1uUCZ9H8sZD4E-Fk_7OgbYOdGnEamh_ulJuDttUQZhTzUEhhblxjwsJ52t7xlvNXalQMJRuRQ0m83KCaS2Uw&amp;type_route=efficient" xr:uid="{FE63E776-EEA2-4E01-92B7-7310C612CE47}"/>
    <hyperlink ref="G6" r:id="rId5" display="https://qualp.com.br?data=4AfQ-f_qmknA62mb-7hGVvDJAUd2KsD6OKB1uzXLB3ZM7qIS4xCBGcd1mk6MUxPw_PvfqHA0EfwnR8DAM0CQB2SJwREOOfl1kdTZCAQBDGUNRNRPQpEUQVFGBSXlvFkarj7V_nq1eF77ctO1uu-IVcJ8BI1UMwV88QJvIXu46SEZ2G1hyrxbedb2TFxc1cc9qd-TeH5N6L2xh1oNCqa-t8UM5E78_vTociS-MXiiYZDvXa5Xns7qpLTWIVyDho2v-Q2oYu9uIHLOfc4X6B5h1yYg4YWye6TcVKWJ9yH9ZtyycupLUS4pqz8cKQjLOVMAPNY7BC2JvWcYkQ4mAtTq_i0vmGXL1iNTaVuUTioQrpBidCgmAr26UhBEsUWT0_oaJ0lsLPM1AVUXXAaWXICsUpEd_UVkIDZwc-DwwdJbZ9I6ZPqX4ZnlI2pyLS3m-_9SwyE8wUJVbDu8BXqvIrdu_pEW4WU9sep6pKasEIYWJ1HsxEniJCLdJJ5TZzYEV1bXptAEMZpiZ3HYgNgOt1SqqtcruiOvku7UFXRlz0AUH5tU8yOhUTWTvIWK34BroKKHpfBx5A&amp;type_route=efficient" xr:uid="{AC933A74-F6FF-4CA2-AFBD-A70D879C70F0}"/>
    <hyperlink ref="G184" r:id="rId6" display="https://qualp.com.br?data=Qu1fAs9BwVTetupL2ou8niELPwFqaquU4YoEByLn0ABqZrr5Okvjvzn0iwmecU5XvhV5ILfm1AIiGHmn9zL9hPJwHIvEv_fuumoibUtZGzBBgXyicEcRfzWUiNxIWYFlUCzmLVMQKI5xZcReV_3DADekHmEkaPzEbC10amwGuwXqWbFtOLafd-CcUaAMFdsFYRaDJehKW5Bddma5ys9eAPF3s3vNFLyDO9qlL9Z8QNRzZ1S9A9nxZi5E-8peycF5zRufpn7MMMF7zlvfLDu_bTbf371tkKirKwTuk-HYkga3cB4iPF7tDdInDebzef4NlRSKmrp4ujqn1LlgypmUmBoFeSr-UWXelcCypiN0-_VVMmFNcKz4WGpmdBl4V8pW7PrH4IqHilXa_F2XObN63Q1Po-I_6AmUgQiz8zI_G0VCOeL9E7Tbc80ApsR4hiuxcDIOMRsleUdpGEnJwTxgUtr8n81qK8VDj1bpBbLwPwGEMMUajGbwgzpxNouqMdx7E_mDz3gjfCGGMp-th5vtYmbC1WJ3cHNL61QV0ztOrTc1LNnnlm7wR9Sl54wSKtsgLr63xGnD6b6TPA&amp;type_route=efficient" xr:uid="{6CAE5779-9CD3-43F5-90D9-1DDD998F82C4}"/>
    <hyperlink ref="G41" r:id="rId7" display="https://qualp.com.br?data=hBE1qGxSnwkO5a5RDX5UyyAA6NF_wRHvge0BDCWCJ4p0WD6uy4ak44_6Q4J2WEokccGQpnkbVylgSrVjdHhW1xW8umCD8jI7tZJfebpXCJOpBJjmk0OfoF7Pu7JuKA0R2MleXw2OQkJ8XjnEFRhAXqnu7CPFogj4qeOtKpRBBGD35VxEElRG622H9JPT6UDecQU0wBI2e9TlP5US89Sx3AfXTIo-HMn4uRH_OuHvGfJXy7zxl0B6odKUhY4ea-oTiJwpBXd8RRVqRdOHROW53CvBsjA9-ZRgDN9f4UHUdoS4j7nmSHeu_66B79FVJ8Un_XJ6f5RrA8Z-xUTJTUQt7wUoC8JLWQFCG8oVbozjnL-wQY9ZPekjgWkCUQYaCqHiItrgVdKYhjD-nhMzDM0f6igmDvt2jGLtCM9pQ-it5lasYgmRTqkzRXNEvXRoBD7IlnWD3ocqavO6M0OlzvWiVAYXeGRrEmukd_g3u4dknV1idml1lfi9vxZiGZ3ZUvFyPP3x_IglaIUwgsAHKuSaVa5T5dkohb2Y7wYGjrIh1pmOo8UCJuW2tPQqxXGp7i8&amp;type_route=efficient" xr:uid="{94B70339-1490-4AB9-9AA9-D0A280B62CD8}"/>
    <hyperlink ref="G9" r:id="rId8" display="https://qualp.com.br?data=4txu2zOzngjGCMp4Az6cOnGaG3n9B7jplLBe6NlYFLO3iRmJLtDQ7ROv6i0lwbrbEaj86ejBBnosoW27RqVQhdCkUAlRRhQHWoD87phIgfVwpQLBeSs_msFuYOtANGiyJHk8QK0MmIbTwV7KbV3BCj3qn07fmjaFIM8heyeYnsMaRO9_-JqLhUFY-zaAv_Fg-TgRLvysQDj_UqGGyk4qbThlgn1mBeqFQjnwIGvzIl0XXdOl6gFA97vQhMI_QW18XwzfWlDhDQq8JN8150GpPaEAWIKgK4P_BcbKMpyIm688VtMAT6_gQrA-ZMGSR58BWG8cTfVFP9RxBF05UYVL8exZTHgP51wFL-i-GAHcaBpXF4eBSArSsxwrfpylOrtZ3A4aWIPKhLR_JEtRZJZJ-Hfu-motHlVdZ8vK3h4gR7jKZW5xcE71tzzY5--7BJg5eWM4gc2WUfFo6Aswiw-IpRc-3ozZAjmlY1mkcw-6bIWyhdjpl9h4UdOjU1uuNO7N3D4kUL9riAPN93IQdmLtIGrYcDfHYxbIeNIJVhsBkr0pDsXWv28Ca1yVzcXdi8LFN0W8op60dQ4Q6HslFcrIwX3BZGU&amp;type_route=efficient" xr:uid="{9C0A4C74-0C5D-455F-8DB7-6F88564CB335}"/>
    <hyperlink ref="G10" r:id="rId9" display="https://qualp.com.br?data=M8y_iKyhQGopYspbu6ssbYLXGR-0ERqUYSqPGO_rmjlmZGfdDKJ_882SOhzhUJKS7jFaZ7hT-yrtEF3ojaKg6lSTmKz-pMZoWE-dWC23nBpcKgLErQYP6hRrR2EiqgWpAUIaodsz2whZEh8JlfpCm9sUMKoI5M9Wwzv1QnZoVqinwx-4Hy1WOM6yhibowTRlw9vZxm6IkQ7QIyYgmG43GEof823-pFuZoMBBj-m2VVWvQAh0kwsIrEat4vJdm64z5ZQxxVNcy4Wj7VKpRa-dz-0KbrjOhdVMT1QLWDlNttuGUCtqedocDokhaar3cD0BO0r5zsIHd2CW2D9gpSbeIZW_gUQJLykPwamlRjUXxPikRcgdhamZraWQo5su_4ju38lCVqw43cVf8Pqpo6MJgyKbXgjD-v5QRN_iY9mZ3obBINrnmGA3NuNWFA5YaDUNrlhjIGpTWEhCxRoIIB4BIPx4ZkobVuQ55-aB1Udvl9f8hqVI2D63kjRqb4G6XMzWGNBy2bzy_ZH1qbICGc46bnNSFWxf3XgPhSbSrzODJU_Fc15BaKSsdKL4jFhzok-fBOWIRXg9jmnHAQbFouo-&amp;type_route=efficient" xr:uid="{53815946-FD02-4228-B338-7151189EF5B7}"/>
    <hyperlink ref="G11" r:id="rId10" display="https://qualp.com.br?data=7nuxjoCvlYk8N0CcBtHUWvn1osGx1Ua6JfYKD8bAaaeJVX-wH3EPqu8u7RtgLV_tFgfnDcqnokNSHUJ2nLt0hQgTOgEB_7-km9gxM3T9DHFYAF4wvPrYmRNeygz3tmvjAJG1iJhedSXjZLA5gGbnWZz9WXcdCaK8CbeiAytm9Q6mNvVHAiCtt4u4hdx8XQ5eV2isqtknuV3yTMets4FNoWqz67AemCtkppW2OSI_b1v7HHDezPEhOlOy0SdqZ3Br2loLIx_e4eNi7roXwAHBcAu1bPAuOeZlFeD435tTkUGCbdH0HWnsW8_aNhPN8h88YAvy_s9WTXbKCncsK1YyomaBJtNYVGWKEboQO5SS42_Mal0o9WI9Z_fxO9SlOWsNFs16ErbGMMxYZi_jQGO1kuW1MDHGIArVN7jNEEmfuphbHTD0bbR5floR1q2tmuOPy-XktpWrfmtUdtKjAlvfAzsi0xuRY0cR2kwCMaHaIfYDgD64Uokjc5u9RXlrI6WrQXw2KYdXo1F3PNPB4G47lPO40W3zek7iQ3Klrp3QCABYEvs41O9OucgiQJNZFtzjflWXlw&amp;type_route=efficient" xr:uid="{09C45D68-8715-4450-A1E3-B42C0930A508}"/>
    <hyperlink ref="G12" r:id="rId11" display="https://qualp.com.br?data=lsj36ZuAPaqOh_iCzza0pDmDCKGoyzXycnx0iP-XIDxh8bcH3EjcuLQCRUv63Gap91RjUxRb11RhVczLZG5qcDPN6SdMQfUwwdZFFKVLr8loszmZyiMKO7gd3HrTWBtEFBPMpcghpnPL87t9laL90CmgWM66oUjhdtx9HY4_QUXxVYYRYBPz1RXxRQTJdMZOL4YhcXXACyBy13B-oMWYd0-TjREj9CKqHw4H0pb-OQhGmpJfLy_N0nzFipoIDK121VBVA5v9Du1Eq_Ua-KeRlhctKTkuUrNy2CS7Mbw9PnR4GMEXHtVLMv6L2x6BqhU4PxOL8agdDv2sHoMhs6jUuAV6ZUZ5y1lb6LWHsxKelf1q7617LL65gnU7a_uXXyBZ8jzVAX7E5av5SksP_sIPCAiz0bf6XF_08RTW4Cf3xuiwLgNIRchW-eXF-Dh13NGF87yhViiJ-EWru9Ytg_eNUl0Wmplnfr6eaCYQa60jIUlZGHCJZmsNMng_eUzPlWWrOHvRQEZ3ht6vblFZ9jD4CV9tMJGceXuE5Z7PCh64fNSLzJMXmLmv3dSFHeY70YNLz-87Qsu5E3QcoDSSN_DJ5A&amp;type_route=efficient" xr:uid="{38F66737-6DDC-4903-A23C-5A9DF1A8DF80}"/>
    <hyperlink ref="G13" r:id="rId12" display="https://qualp.com.br?data=W7LtmxqY-jtkFgFwv6khIi-y6rUbwiLA1d_-eN1UKC0QUuNy8PamuWqynrVQ5nm5XU1jEy3izJhLRzOmDo1_uYQqLYbjFMt8v_nHnzSrAV2WvWQkTgtAWD-Si2h7ndzh9PlZIfbF77fMJ-zp5GHEBd3n1mj2PaEt-FDXf9MQMP8vB9wQXWIYAG2FucazOKI8B5F44uaBuanz4bgTqTKpd_2soGrjdpWWGzDOzDaW-jwn9BK_FlFsrgm4WhVp_bZFYStowPe3WCo4CAwaJBIlIh012UrKpl83HvZQ4peZCbOEcrBvewWkN8lDnIz4LP8hw-lWjT6z448e9Vyl9x5K9LfDj7N2OeX3qVN-BHpa0JRlHyOkrkucYjEeF3UU5isitjYoDxkf9hxQNnIZ1lu6m6EqD-e4ETqMs3Dkl7qtrHyZf08uMHrpB9KoH95s_Y1Z--849N8HXZqhF1uJvIDwjPk3wePubY7Q-kTL5DOgn2pQbB7UxhsKG6GneexmgNQkO3gNA7GYoa7mQ5E1pXYcBKRSU9cJHFfcU0MuCWOPnetufHCqAkc-_I4mvoyx-tionOVT5lw&amp;type_route=efficient" xr:uid="{1B27AE88-F8E3-49C7-8D15-5069511C1F03}"/>
    <hyperlink ref="G14" r:id="rId13" display="https://qualp.com.br?data=ljgQvEkdJuSN0zy9oAeocisWZ_UCKJJNCB1vmAfB9pm9FSTRKENw5ICqzYeBislb2hEwqByq0bzinaNDQ3UQ7CtXJlD5Av8dBKDwhbqVp_yL5QzE8y6J2KiC9I0O0olQq6ldjAU5wTFiMIFNIYZ2grzr27Pu3Mdb9COD_FBhvwIhP1ZHK4msN5gkihpWbPfWXkM2ui1sJUqderm_8B6vP7Jol4dFq1r7f64lxENpH6L0fewvBGN10LesRb6QOMp_QTL7DtmIfz0rjtyB7pb0jNnFPPubI7_Py2pi0KtMlFre1csEAo0aRXyXg462sd0Jq3DwjNDw-u9fJesEmcxBqY1qlRtzgw4kD91FvAjMuURn4pRMN6a92JYcnesO1w1rxJINSeNH6MMWvPfS5rPjXK7ez-TS2L40uiSfYXmYH-3us9ognUosg8bn8ANvwLzOC_5U8TVVvw48Fo8lC3iaeOYyk5utie6yKMGYK4Jr9Nx_F0GAiyNinOD3VHW4kmXcJFqO3U-2jvX8l_807BjdtRymWsNWMhofzj2cDtoFFTyrfgzB5UQyzsSMAbmHHFBL5hKkVBI&amp;type_route=efficient" xr:uid="{D92ABAF4-86EB-42DD-87AB-F257856B2D40}"/>
    <hyperlink ref="G15" r:id="rId14" display="https://qualp.com.br?data=-bFPl7nmaoYBI6jd23egqWgWN6bYZWPe8m2Dv9TY9ftM7Ft7fi67-RXlAKvf4Ze60REmhNMy-zATXRny3kMGNTQuUMPCOy2ymd5qNpOQSKaMM9aofSSPcNMnnfPdtb7Wll00Psvv9mBdZmdjcYOh-qis684XZP964VLRw-MkS3nqAMc9Rg2X3sterEwXzPSRLlqDulzT21p80RgGfJlshBDTl0fR_2jSPNJGibnVE3yE07kn31FXbarmvr3FTX9SuE1N1bDofKjkSx0nJTiBjOHPsORrdz2Xp_07h932MfkmsbLDmHes2IQzlc4Qmz6iS-kpI1puLfJKdvtKLgdZk3fJpplVKLOWpmyBd6_gDrynhnWgn-s8qvqBZDHyksi9aZ3Mko33mUb7l6yuOKB_WInuxBYTmsqNuFCDv3q4jFjer_EaC0Nucd7tog2I1wXHqUuJJoBzwFi3CQHSiuatX60UdqlRWvLEq9EAHT0Tsq3rkrTYUDVN4bwKL9gXTEGkaRmM6I6Lo0bqws4r5-faJF6sz4VfGXf8nxq2g7rvTbSKAxqswk1gX3FFMLzQPBorSfBeGg&amp;type_route=efficient" xr:uid="{A3F8BEF5-B5FE-4559-9EB7-5B3C59442B3F}"/>
    <hyperlink ref="G16" r:id="rId15" display="https://qualp.com.br?data=CnnZbS-TdGEM3y6xheAQWjUgZEQEUv2CWL-B01gtUeE6wo8eiDzXRvXwALyZLEPF8U0dtYUyRQsARCPp1XxqOUUoGrJvLt8IWKRHk7ithNuEDpayobfK-UboSD2sHsIrsPYS5kKxUi4XOL-roAHyvTYcgj5CRn4l3LoeO2Y4qB5BT87jY2-QKKNBmzkuw1ewt51Hlht23S6vDv_5ATRpqhW4fy5BR1PQB__gpCrKzIAClB_BX3CI47JCHlTJRFAyApZvak1bP6AQc1LOooJRWt0HhgDklmoyjpUnj-BkgISHbEtov2cV2nckHx4oxcZoS4QFfg_ck9-p6F5MZsk8TFYRIiTBdIrNA0FDUNiW4J4suYExFAHCxuyzAj2hLbilms0wZfPH273eg3yhqDMFeMPKzrou4SE4UmXtaJg9nWjd_jVgfXMwhVqZjF0VISR9IWz7g4teV8WKHUQ9w6fq0fbgsP6V-45JkdLOlBRvhtTw_tnH41skLoC3KpeTqXIa4UA0k5z_qY5FJzEkGRaMrUTZ4AFE29miKVFf5aTBkdrU7PF1AhDonPKz8A_sgltWQA&amp;type_route=efficient" xr:uid="{D41337C9-4C2F-46AB-9475-2D31C83DC563}"/>
    <hyperlink ref="G17" r:id="rId16" display="https://qualp.com.br?data=UG6Rr3BP5H1RAwUgOftWycD9TcvaMCEZ8V1VpEtl5xDL-_3k6fj9ZtROaczB6tsliIRdw46-A9WxRaVs7wJr34fKKkgfaWWf-aPI9hUera9FkqLFXpVQMPx2dU_pFglj5iz6NB7dsKZWwROjvtM_Wh4VQ38--fp0IPtgBwYyZLkoxwKnmx_BxtZuKdkwAGiSEMKNvGvShDrWU95BHkTex6E3xxLY4pIXvSTC3fu7jnzWfICHcksskHjl7Y9o-WK0ZeAoyJF99gWeiLQu3Ws0FF0vG0u8BWFAYuqmxFBZLsoyA-TuyePea3vI7aQFni1VOuqK_Ng9NmLX48mA_o7XcZ3n56aGoFleAkZbZp9qn2BmIHFkjHYw5HlvzMYz06tO5GdxtjRHm2Dlucl3FTD3vFsNfBmfuUTm1QQVGZQzM556UF0ItjKP9NvW_rR3klW5fQy-PVHzCZMXsPZIyAv3JNlV0uJiUGFok5aPLKwHiCDXkj7EwsFGfJWibdqzZijam1Nmy1dnQi94xGuF7JaUofMqnk9vFdu0r2YaCo-0kgKDEVoBufidZ5mjJ8Zs-O_Gzjo7m4Ow&amp;type_route=efficient" xr:uid="{27CC2334-7BFF-4266-9BE1-32EE3A308AD8}"/>
    <hyperlink ref="G18" r:id="rId17" display="https://qualp.com.br?data=Hy2i2Q90V3W0B2AMuMVascQ9iy4fxJWcRBBEzVR9rZc3o7bU-O78b3LlZzU2NTYJMmyFJH29tAtGXow3SzMfRb_U0PieOv3vaix5qeU1zVpzAIbCQFQ2Ob2SmM4rtVnV3givwfhornkM4WZsK-5mK32cOCcmAFcOjTkp3DSzh7L68uiDH3zni_f2D_SJV9Hr4iBg-oRU-7m50fvyAtBMqtPJavx0yWWd3xVXEG1ptNkqU7_NB-dQwbtvFua_J_jDBr5yeb_-4-G6ya65MpINuNlJ3eG0g1cqvfeqHZgcUCQpIgp3yid1fU0ubVULL48nNb6CTAH9VFG1HWq8Cb_DvJ_oqEgTHKPEtIJ1VFsfVATRLo8nkGHz3zc8L-HrArkMlgfCoDVRNeiMZJNvJ6SZi_FM7TI-k16UM3aHrzAiqCcylu0R4KXVM_q5Jmw_UgsGnRs3uEXM6HIZN7sQQztahvCpROLN498pnxbIyrg3VNqIYXWqmkvd4aeiHFNsHdSmrlv73dvEOwxMHkm1ryyjR208e5uYCta5042rFuZG3lhx7urImPKQpWORo1Dxjh-aIbA&amp;type_route=efficient" xr:uid="{2116F055-0CE8-4C81-B4B8-477E1C02B11D}"/>
    <hyperlink ref="G19" r:id="rId18" display="https://qualp.com.br?data=V5YRrzVpyArMpfVqTqe-3r1OCLiDFIRUe1-Qd6ktO7jeuWiHzv-uFKM_pSOPI5Wq5zg7rywxToLlqlcwe47iL9W33Ux3YpY7i9DCdXUm2ri2Q53Z66788WlxnKo63CTgUYqafFAzTCREJZIVD53uGLEyGwgBpqrn6lVmFlWwN0STw0m5TffdX9IxUkSoPJU3Xdg2Uz3BgMsiCp1Uyu_Hrmqk4_37fq41s80MBUt_FEV-HKZ-GBDmcPtfV6lO81yiX1lTxN2FpTyRFB3wb45kRsnEWagvBjrsI7dcKSMvauQjxoeqIx6R86NOOnGFUvgKB7iY4wePHlF5XST2H9p0hFy__u472F9WJxnAHJ949OCy6cjLtMr2-EeM9mzR8JdopX7IhT1ni-bpOYmXL3lg4X0YLRrVLDWWILRegj_3Wf9TUXFa-CA53FgDlZZ7fxMi95X0Wit5QQ-IVIC31H7V9ORid8GhKPVFOIs8n9Behq_EABCMCtecc7r_CHQzCRlo6ym97_rJR_KD9OFaO41IzzMqipy3nmwT73lrRJH_FO_YsGNSUWJdVcwDkqGWxCtjde5GdKh6Od9UTYt0GQ&amp;type_route=efficient" xr:uid="{B4B351F8-B910-4B90-A68B-9E5F8919CABF}"/>
    <hyperlink ref="G20" r:id="rId19" display="https://qualp.com.br?data=ZRiT0iduwk_azC7OBvj35Lbf_QqG_v0UgLemFc9MJp2OJQF8hEHAlGff3R5d41hlg9nXAEwz1e0K3TBinXLlZq4tbd-zLXtxDy9U4Xbkc8mIguyIo9f0l4fVchR-EBmVee_hPQgybTPFFo82eg8rR8lo6DpP9qZWbNAbfPBOVo3CdOgKg5kYRCGoLYKnOiiX9LtATZxt2VusiJ1-639Anrboc7W5v4Hyohy1UXjOimpckglA071rrKmkJAz006cVJKWJedUkxfT8ptT9V2-DqtDl2pngYcMQoQKB7vQgZOxlP0UN0ksyQtogyQ3-RNI0RE0JIl3goh2V0oQAxvQsdQKp9fWLiLJKtJzB8D6He6dl1S7xWd3bYQDGc3kHGFhE7PWAan6D5MhaFTs764sryeyIB7AmzYb2mVeVvIHmxYPdKhRXDzn2oHaUHloY8MI7OTALS0Gh8Oi3nQqLeASd1_8EvyUCNLY5fT9UiT7J2Q0BCveLvtnw4eJXZYiTyj0WklXZBiwsiSQf3kat2EQqP-jDa89f1SOPnwTWyFRkHfyLdKaqF-7I55TyW4y4eKs3msazaX_e&amp;type_route=efficient" xr:uid="{2CFB40C9-4EA1-4542-AE93-F58DE3960AEB}"/>
    <hyperlink ref="G21" r:id="rId20" display="https://qualp.com.br?data=AD4d7W7lz-IzVuNAQWW7ifzTPMuATc8uNLUwsf-fOrcmZK5gRg1EWwuMQNbSrm4lgwSlOjlORIekT1TFdnc1ewwOF5YMu0bsj6EC03l-r1K-XY3ZX0TOYwG-ScqYgwZp5TyO7kvTnVEZbwtZNBj6PuWKtjw4ASRzHNi8dDUfsiYpWlgFbTvcbeFS44K8iA41ZV9kzyRh04jwtlFq3tR2AsPjjedDvgFkxXpduiRwhnijlNVhNeAYEHO2PSt2UWdIQI5U12950K-e4ftNe0enrBIhVVSFJLhWeK6E30A8xunkQU-OxKt3nmYRq_d-82z-QyC_lbhf3LwN6flvNuKFUmqlLopQEeLAbPA9dwjqRN9QdB4rA6FS4_UM3kCiMaEGYmlqpZo_-kl7rjVzwH4XESHUy9eNCvrcHm4Tx38fHpDWVLamMkZiKgYv2HMEBrCBBAAmCyrshbnPed3hkOU7JcX_jmVe0e8V_DnRogqsC5fHnMCNoHT67DO8yY1LqUhhH_ZbvLTIxNDqWURibSXrXn_w0YBwSMmYNjIJtGmGkiPI5C0PN9EPUwP6dhYwFylOMjIc&amp;type_route=efficient" xr:uid="{F80BC7CD-A112-4C42-AC6E-9735E61615DC}"/>
    <hyperlink ref="G22" r:id="rId21" display="https://qualp.com.br?data=8PnjVu5ZRuQG91JOlruXgxcfQjbXOQKHNmJwqKNPXbhqSZ5W-rR-5aYPNMiT9yHYyZGi_8MvmoRVLGzX926BqqgGsdA9fbgJqv17obst2esNgI5odKjqkYPOy2H3ra_pqaQt0FKA2waiL-s8dCvlj1DZcaMxzgFud84Lq_YBdbVx7dp54VsX6nSh0EVQtLKa6_QQOJc7XlcacY5_BpLdbluz1FIeen2nwUFxCn__O1FMrazIa7Dq2giOec0G3GcZvrv4JxnhsIOKHxLxh0QSDxTkh2niCWm0XD6cg0dDiJ3P5TcxfD5SoxgRfYFgzTWCwfj03xnnx8mtR2__m-5LnBk2VfsFvEdVoGQa7YaaZaoqLA7Y0vKl9_WbEDO700Cxkt86terSydv9WcVw6OVIsJmUPYZJpjHrAErqQqtEWyj6CPrfv4qq9t54RQHwudjZjzgpisxc8lhzPz_H4lB5fqF6IMCNgZGGQU1yV9lxYjsVJ41ACid1oOLQXR7Su1sMOao5MuA0RFi9TKX4lA5TbAhs5LiO9BCm9z-PWkfgJ8KMKxrqk1h0ISzUMLQ_gqaDbFwN&amp;type_route=efficient" xr:uid="{0BFB2551-2430-4609-8C70-227FCABFEF15}"/>
    <hyperlink ref="G23" r:id="rId22" display="https://qualp.com.br?data=VhZvUz5fccPTU_Vzoapcr4CecR9Bxg026inpHt4vc5NT2U8Updd9riOuAS04dKGVEXyrnm_BBkJSgzrsm3FNFkAOGIQ4zHNUwOVpFh-9iXFiB8n_q07EjGcpKlMyJS6WwBdVwgoa6hVh9aGBvkztXHFUIKaD8MnpLXuRjWHIQp8uS20gDgs03kJnhXCc3l3NGnMvaA1OQzKLZ0fMckYGE_bCM-fZympuyg3JMg9R7SQto3fisnU5ruk1QpnMEkJ0gl9TWE805vrIabb41jgCLX-_QXC99rsCaSVH0BRa_3vErAthRYTH-J69pC0HNBw1pQ3EJAMr30Obf_XFaYpJGkgbA8KPCxeUaYrjkHcHuaUUyTwkt2V4XWvDMY_fjBciG1XqOkqlToT5s3NkL7VfOESyr-eNTyiOyaF9GlgTWb1sc5uWMbewmhAdnelEF8BzVq7LwrkvduoRcmjcU9NRweYey9-XGTTGlx2sP9lYdiOCJa4E6PxDiYVt9wXMRHuwJR-WulMvtzSi14CQftzxWDNXPtuSgFd_NsFAjFj3n61AbXDpZM5QAJKQZrBRKf-oXmYJ9c3gKUU&amp;type_route=efficient" xr:uid="{0B8182BE-63AA-46D6-AB16-114F193DDBAB}"/>
    <hyperlink ref="G24" r:id="rId23" display="https://qualp.com.br?data=XQPiWWoVkbf3IrKsD973Mwur1dTVkhhzer9vc5UHtjtj12D3F5ISc2IcVfJNOWYd4FNJoy5_ruL2RaH1IQ2blmNTe9Id2KWp3Ue3-jv4m1t57FBh3nlnSYGpvEdkK0NUcp3q_Z1aB4rp1Tn90J0Ck-WwpIXatnqShw-UjK_wJyrU0VqoafOqTCkSZM-T_djRB6QrtYSwINCWz-jMSFn7USZqPxpYfbQlxz-MfyBH5TgcnItCbzfKbmCc1I7l4InVUffW1O4BMAKM-SL7QUtceGongyOxYionVnPALfWWYR2daAyMEJWdm2YGrRiA5r6hc0D1ka2ApSij3BTwWfppK4TWvS5q_MYTRtNSP0Z9s8oPR5n9NbLUylEPHPRHH2RMGamOqvee9sKprKaXOzE9gbW0lCDEFCzjb1nhU74R154tK0XXucqw0maDyCPFNpj2dEdVeqhdFpgdKsm4iRcHTczrSSLFe8fZ1JwNIjK8ljgjxZ3fyYWAsU8pZE9rfahNmssweTKCa15zysy-mtUwLIpo6uJyxKchm4UgqzzLP4WPK4vpeCKkn2nEI4DmyZea6h7scQ&amp;type_route=efficient" xr:uid="{2E1E4EB1-0D94-438A-A2A2-A78DDC2A24FD}"/>
    <hyperlink ref="G25" r:id="rId24" display="https://qualp.com.br?data=sE0nIqnkx3NUvtm0TgLMxt3LEBuHYU23Nb82wqWohBJ398fdxcm4_N2whgvLUHnOPjnZFqMW520AEJFxhBElt6CMaVC60RmaHHjlMM6SJxlBMCAY_LniZatdYhsG8dB0Fxh94ug-uo54gwIgEhUJv61cvN0ZK7jNDUdTabmGmcFsZQO8QTBV0JzIWytLONoBnkXCXOB9HofWSQJ1wmasxH9wLzgPzDwjVn1nqpQW41Eo8cw7LQBcYSOQehiY9MF7irXVU7sJZDvFBYaobRNw_6wEWnX37Z8qcXeBRA-HyeDiR1X5-U4YO08u7r2V7TRNtfOEQGC-IUivjehObkT_OvDC1JQ_8l7vEogUihjiOpWzrfiIHC_ojllYbhrv2fQ-mLYNVXfSMuthSGDONULGA6AwoOE0XphQLOGj4UtsR5QwJAsoWh-LkBni4Ry1vZtD4nHrbzeQShG1yMAxUXF2d9N54w2QtwXpTjqwmA7iUtZtFHFwK2HrH4AgRIPWJu5ne_ZnDvQKxl9egHzFHyNuq4TkVXLRfjLpOc9oTWR75BHrcgHoKw1iH9_Zvmy4LjE&amp;type_route=efficient" xr:uid="{E8A1F809-2FEC-4138-8044-DD4E296B3E48}"/>
    <hyperlink ref="G26" r:id="rId25" display="https://qualp.com.br?data=MltksipbswYT8zzbLAhYLeuIG-7HLj9jDGj0Xs6aCgZJugXgWHz3HhwGW4nM6mQwwvsS-8TM7shZZOzr2gUxz3FWDANbeG8XjfU0X0ymPLaqsye4iryjTj0QdSxokxFtkAUYpdhVZb8XNgAVJN6-gsCiok7lcZRJhZT2iONibBJTTVEP03StNCzT0d0kCzE59d3JITNk-mFw5k_oGo7JMmASgtLfiEGrscIsX2jqgEiXXY4P1P3NGuvwXnoTFpi2bhEfL98yyUgXp-2X2yM0Zv01hqwPUm2nIx22HHyu7N2ZYuKR5WD0QDuohyxxJgc9iLFMm0oAx8G8JwnTsiZ0zSSsfONwGCtvschb2UuaZWmxcTV9chrVD9i6SJTZxAJQbZZJb-fNakUw54sIJt_KKcPQ0ygg-uT0h9WAQbJ4NpniNEm2egiJ599qmBR10XfUyg5sm-DVsI2intImbAbaKO9IKjSsr1puSCIe02a5-6-ZNtJ9cFi3NMoiMfhDtxT8ZTTOFHx-oYrAxw6TBcrD-DVv9IjDWD8BbhUShxHJuG3lfLW4dfHU5iA6cwFf9016GAbQXgrZ&amp;type_route=efficient" xr:uid="{BFCD4EF0-857D-4832-8710-A0C40F71CCE7}"/>
    <hyperlink ref="G27" r:id="rId26" display="https://qualp.com.br?data=d5ND-LCw8q4OTfEEzj2Ox8OuFW9QNo1HbU-F9RpIhlCdTDnGz5N96quKBkpeL1Elo5OtLM0gVfz8aiKalUIIn9K8mMiLiRU23v9rHCNRekirb9DFxdqA92NEFrH6_Zf6a8xjhpOleg129IiWkFr9CsOE_u6XBuSONiFE-okxdRAv0VJXxUugPUnvkHMIY9CQFsZuHPkXZQ81GpHaeVQ_fli4mrX4WB40be4IMyRPLdtpBDj2mVDd-zIoL8-c_X51YHFHifsC77RBWSZsVdfgWsifVM4KzRRBsmdzBc6lbqAytPUjZ57ldXUjlSRvtRUxG8KWyOJqkiVWLh5mIzMk4jnyJPNXb_0rHuAS4RCxe-NpMYDt-Gx5POyHO12oPNCNoxQLyNtNlOYCAHw7LcWAcDi4dMHi2cDkQGLe1F7fx1EIWbnvaJ60dPMfO8SDlVzTqw2CIyXnTrUEeczb4IUFrocAvWINFTJMyojENARgFo-Js1qtar9wEw1T5tXVd2eSPcIzG2K6YbP2zHoAErzKcaJ2U06nBh_iM-WVdRHNxEgU_ltrieWBgXnh4BooT8HfVQ&amp;type_route=efficient" xr:uid="{175BC346-B2F7-4804-B05E-8B12EA328D83}"/>
    <hyperlink ref="G144" r:id="rId27" display="https://qualp.com.br?data=FwZ4TEZiW2dPaUsvXPdefPidDmXgh3gLANgyeLEjbEEl88eDI9uX8tKGjJwB31V6Zxt7ybngegtGM-OOOa8XVKHMDOBECQb7Bxoqm9TcPrRO_6kUSp7uhgoURiRCV5isaGMfigAji4GdiPg82wpqqk2-pd4q4yf-Jd-mv3_L_SCvwtFrTVLXspo_f94I8ZTwxJ2x4V1zl9PXvSOI9XGheCXUo6rUMGPqsceENpr_zJV3UwA_yPsYC0bpWCm2p8FJGkiX3PvsQSB3Rik0zBDtYmp28YuFjTUN49Fnu-xA3IOM75NodIOYejbUouDt2TL5cmB3aHvvkhmhGwXcfRSlU6RGoW_GwPRKGDW9w4Ax7XhNwoDeqDrIcJ0B_hZ10jl2ix7i3qe1_70gze1w_iFrDJcBJAbs2e5_kkWXRbtdNI9WxHKwHaDidE8OwFZHCNNpOItOQvQHQLoZo9rOJ3m-rHUsXNx3chKz4p5ILqitdfFY8hb4zEruJAXMQAs6tma3J11M0jZjeJLiossw1Bm3UaJJWppkQccnre-zOznzlOb90VnBPVc-WGaME5gp7Q&amp;type_route=efficient" xr:uid="{E8AABF35-DDC5-4E66-AB52-B792DFD4B444}"/>
    <hyperlink ref="G29" r:id="rId28" display="https://qualp.com.br?data=sNXm_oXXLwaIzJLq0FcsH-xaNbGw4G1H_QysWxgig2pTPO33RpYobY7xtJXNzpbYYmx_87GAGDQ1FIByz8zti65bVh9AE8jzZ3gCseQ4wWNGKevyb4HqTykJ3IPeb2Be-pvENkxKXP1v4i4rTyOy02J7drRHswiwn4ucD1ai38Y5eOfAfvcX4TpmPyZfRaA-in2NEqncdqhaGcSMZkHjmvWv7bbJix9bx4kSF6AqTCMN1m26k7vL5-nY4sg5Hc7E3HEf-SRy_v78l2UwOoYwLQ0kUIKA-1zU9nhwPc7L7twJ9YuhglrU5MF8CsSWYGafnjZStXYiNEnqM6gsA0S5k6Oo0f1s4jnhl9TKrZvtYPri8J_VOllH5cRC7oVXasxJNTQ5UWY9e7EbMfztpDi7CPANpYA9yR9qxH38Icj99ZSiuRt6HC2V6Mdwhe27UtXBFy9l3oJkkraFT8YIHRMl0pTyvwHEvIhQxfih8ReCFMek1Gl96TieHZMv9S1drYZQayxj6GgfFYgcpxet8HxcJWpQtGbLOxPKKnpgGVA7IRKG20fJaKHcX14p2Q0QnWfVvg-A&amp;type_route=efficient" xr:uid="{678BFB10-A2EA-4604-9830-56E222EE588A}"/>
    <hyperlink ref="G30" r:id="rId29" display="https://qualp.com.br?data=qOv6fET-3I0ZUDq_XrOoZbUTLrPBi7uwIRV2WUnKHYQNFTo1B1rarrxQaMdnFFIXJARo0J8XdmfRz3WI9oH8fuZXSjkWq7gR9ky5LmfC8XBEP2p0wuRGkL785hNVb8X9R9kKXFo0dAxOf0-OFnuTKslV7Q-7eFUJ9dNtt0-B5XWC43mUvJUtspC-PNF9jzn9tbD61U30_Lh0R3_MxzREPtuDmSq3RRTDM1wVEGMBiTon0sTuqCpk4RriFmU2InQXGG2X6amqrb9rAultiCXjfzeAfqsFQIEn-Sx7S6mM6upuWIXfYzZ0tWbcJ20kMvjk9ckDi_H5sQ_QojaJyvXwiYFd1jYc0_MI-g4QV0ajb2aotOglUx3whbRQFBxi2kTw1QCQypZU4cVN-OcnxOLF9vhHbwd_cwf4Y-5JPJT81nVje6Yxiss6X_0TgAlYjxH9eEb5bG9MbSAkPOFdIgDzyAqNczsJAnaoF97A6nUaP0Y0Y-eV5lrDrA54Ka0OejwF5CnIUlPJiH-dUU__HkBT3yPn4hRvmTpKRkZM-yLPKD_BEzJZsYNI8nx_y6kaJagPHuxyQ3Wko_Eicw&amp;type_route=efficient" xr:uid="{230430E6-AABC-4EB0-BE14-7F96BEE3DAC6}"/>
    <hyperlink ref="G31" r:id="rId30" display="https://qualp.com.br?data=Ql-a5qiDy965q5ACB2gKGxfYiWlEjMCgrsEmstPgDn3alHkw9Om9rKKVe_w8oxpzLAHWwls_zTm8F85jkk0UVopTQkk0krM4nPdwxWmQBQ9l7DR-BSQilwo_4wQWS4l5yLI_fX6cgjM-lmD_XGrO1g9kHYrPNEfsJ8bwYwNa9MWnKBqXYMttGbMF1WMm9aTIk1QXgvSh21Jvev9_ZU5Zg95ICSZ51EToU2YNiHNBBpd2ImPpn9-TGmscbZAtaIzqZjJbvvd0FeiVuOLTuIvcTsrbsWUNmVzjoby3yOAD84-fu96v0ecyc8sUvkqrQoNGLJqbbi7KTUcREZDvKYYq0AthIdcAkz3XoUyKxd6m6oANsLEwm51NVkc0vKFN71e1IXOw26P6RDSmfFjGNenEEj2izTJhWiCo6GIn2O0-YJYnsyu4Gt0kN_yFB4PBsX_omxoM6CgGnWYzF7gKAMZhXzZicUvqLk-P2CzsB8-9QSAK93RKohniYXXVzKF5AJZjDtJr2Cc5dvt7C5B0FKAJEDYZ39YQDKlkaHuDqqQHyZeTrhSmqQc8uW5jzNKZDJGHe62wGA&amp;type_route=efficient" xr:uid="{5349B37D-32EE-49A4-ACC5-A2285B907608}"/>
    <hyperlink ref="G32" r:id="rId31" display="https://qualp.com.br?data=Nu2UQ6A5msLCPL9h258ptqEUPPefcVAYB5fFn9qR7_Y1xKuruDJLjkUEoehJq_gqkz_gYBA23YMnyhHKZWi8K7XoqzrCL5cN_xSe_HA7xsRon1kNM67PeKZxtlTvP0WpmOtuF8eWPrhZRpjhLOAP3xAFnmFGCAxdVb-fCEoSQSMqhNTt6OSQIRStxTSmA-RUITpS6tFNzbtNNBdc0yItW4dU-_w1MExSs_YhSTTUt9chSGhdkHpRdx8nteG_70e3Y8yCDz_9JLvuBJVNeFM4c4X_QQLD96y54fLhqi3cZy6xlLUXzPXGypQyhCuyJAZESlUu58j_gsu6Gc_lO9Cz3SFfygCpKq6EBoYMEnX3d3eiPBH22fR1JWlGWd_onMm8Wb2iaAjQa-asUYkqle22R3BM8JXI-Qj11jImCWSy8rrTlbSSBL0Fo_DIHGf3HL8xMPwIqj76RcoYgnaL9kTCR5ZakpOdxHd2GKoRin-RwDBDaZSqLA7pZg4vPTGjs1ixqT_CLNzN0zap3ITnKKnhYEIDV3yuvHI8By9_nPxiC2SZ8V_BwePUnrnbGLYoa9NGKTh_r0fT-A&amp;type_route=efficient" xr:uid="{5023500E-2A97-4DDF-B442-CAD66818E3E1}"/>
    <hyperlink ref="G33" r:id="rId32" display="https://qualp.com.br?data=eHc8oNWHsqRj97hJptxl5xuE_0TyWB5av65EmlsgRrmZ7ANecGnKfXpyMSuIVWY_-9hbKps62DhN8wEpvCTUsl-Sih1pf_G2lcwWlsGWPEv501JD2lrYIiIoGmJGMSz_RzDAEfJVCmmgf0b0E_rgQ7jJbPqOV225kKQuiZ7nCoI9ht_fwe1Gb8_Gf13MceFt4CRpg6T1ERy7-pVUlZ9SwjFP2FH_jyWXS3JiFwB3pVxbhmOTHtMV7361jMvYSqmcBYS-HbaEWvTdAdh9u0xefLwp8VVVdqj3BJQLonfadtozJLh0YHRRY75EHWVquVGel4p0udi-AWIRprZm-jiZcFvR1KSnoVALyIa96jULZTgccY0Z0P1hb_PqjBJTzPmvxwOqhYbHY42j4gC9nKq1niG47NU3JSETrU9efBaTYZlPcqGbXhl0bLVvHn-hpxqiSH42lQjhhf-mzEjFJn7tniF_EFxYXn_xXVmoGS1zcQQb9oos8W0G1pMINGAF8lfP4df-re1eujL_0sCJ-ghNm7EfdK50rMuMnG5ZwFIX8h3IwF08ntp2K4hD4NmFqbbf_rKZbA&amp;type_route=efficient" xr:uid="{5013D870-DC10-4444-80E1-D67B11618753}"/>
    <hyperlink ref="G34" r:id="rId33" display="https://qualp.com.br?data=-I2R2aUmndxFTaolydTf9KuiFODC70wKBqY9bzV9Zsfo2p1XQraRGpl7dZBopZi58wqgmi1PkizIFsV6otklOyAA_3n5kKSGC_0l0MSVAv-Z6EIZeNpKi58lo1mq1FkYJWCNEBl347Zd_zkyAAFymxojYN8jdnmhN1O-FPirhj0eRITZAI-IIQGIh-ZLNwFgQhyAXD_5EcURFS334aCrMTy60Dz2CK1OsnqEVWiF8wk3OBjbn0Cd29piSLXcwmfwrwECXJ1aSZKQOtuxLdTDi4mYqH5Arfl-6YqsbYx0apGpzrEiw0b0sHqbLfcTeMFu7v5-8o4AbTPBI2Q2-K0G4hiWAmNX0IzsG2l88b650sp_tMETt2gzl8ivMgQ9kQkRv0-xHg1kBms-bzPRvK38OB_jJ06G9I82oshRu1xtrD1t59Lpbclpb1s8FS7cOmVMbaVDKmwp6IGnhK2FAqhdx94TGeEfhNzpMRe3SQFq_FVr3QSz3kT1g6kozTZfLTbxJD3RamNG3n9One9ZMowwsKCyCRGNh1k1xrRHObnOc1tIlO0fXhVEEEjejIrCRhPH20vt&amp;type_route=efficient" xr:uid="{D59BE7A4-1803-4EA7-867D-F104B24B245B}"/>
    <hyperlink ref="G35" r:id="rId34" display="https://qualp.com.br?data=M_KDvC8tfvlSWo4iFCVgE64MP2JRv8Nkb7OHR7j5Y4yntepB0_ODeFwN-tFGsBE2EoNIlFrTB9Avn5AbLkiYTcg9jiC5RiXbC39a4VHAIQgqFiDdB470JEbVMIRe_XtBpsoJc13cr0laIEGehv90uonM4hCpCHdzMZIEj2Buzx8FEizoxyi7gKXoPs9Ge4qoPPuO8llP0HKRIJqHNeWry_he3jzTXZtN6bxEG2FpAES3iuYjqle0hKn3lmfWrsB91PPZRWQkIzYCmCcCIoH4FWqD_c1gP5dQ1ye5aWCXvodAh6fx6KwfKWkARx8knzQ9tGzcezuZmI2RtpRhVw_HWqeqysfaGhT-IRaBF5ISC5azeMdsavvAiwnuNzvHilhMMMsWM5AZgZyQapIqILwABp6u3f7QIlg-4L1mGSa4LPeQXAUpk4DuauL7Q5Ysi1vbwwiC-7BL3-VNZ2yWAjHM1cGQ9hG1UDENrJkpyhzh6Cyr1HxwbnIc1I8jhJOaJ33tnnrTuimF5p-hgpMxa6XTg3Uskaa8D7JWhcLOzPhIabNqjvb1XECRttx-qbEFul0Lz43_CKv-XBSMe7xl&amp;type_route=efficient" xr:uid="{2BDCAAB6-09B0-43C0-B10B-6245D9D489EF}"/>
    <hyperlink ref="G36" r:id="rId35" display="https://qualp.com.br?data=uPBPSAdr1KZW551VUmqpQBitzMkKY8dESKLldZuuhTHkFCwdYjaXaIwt0pOA2-bUDUaIxxObVD8VvkcvLE-UyDeVjRBIX59uiFdb-gbsJVnu66N2S6JxCw0rTuvRd5HwXggQE_J0YDRc0EXQiuyLpdbjAgkU22Dbi8uY1MwsNcX6zJw3D9piy0Bvt93OGfAvaUI8xYlugJb-hSqgJPxLbD_3Ahq9uMsss-lmxQaPTQqvYmwBLC_sCPO-xLXGTl_ylWerDh1ZQ3LtMXRgXWc9cuEI1bokUYW2G2az4F3_G03vHuBd1dnEW2HH8vRhxPVH_Ow4x7PypInk5G-9vjEkBbKdRQM1H744VItkhxXSNHRLJDCsH-7oX6nAUhWzbCHNQMUOMM4X5R_JCM9f7Kt8EuZeCozhMZIjD0bU8BKECqeCMI0PshT3ElcYshTnJnb0aHj5VQxfL8OprHGJlMGtd5vNr7hDqRzOfDFNlCgS-86SXxi8bn_O6ymz3-gpbmGgGuXvz9LSl7EBJTzW4EgQYkyAOzbmwthWv1AeGJsGSdesaal4NqljtjzXKxxmnoXXeSVBIlg&amp;type_route=efficient" xr:uid="{BFAEFCD9-C6D0-4D93-951D-64219264C0F7}"/>
    <hyperlink ref="G37" r:id="rId36" display="https://qualp.com.br?data=gWiYhXmXuTXaL519JkhLpmejTsX0ZPXmkKRzw_6xSKgm3ZxnaQ6YXrSGbe6pL1xBv4l2r83UD4S8ODuWrGutni0BuiY0VBFFYStUq2UFDsbbCp07qEVby-pYrVzmZth2kvmpuRNtcX0p8TmF-fz1WYACn8nZ7x4hbBqWVqppGKfJl8cjRuwTaBwALqs86nwRZK5NNcEry1xVohfDZPYo3nLO2yf-jCSXs-z1pWXXNdd1XcMrqTrdqDC6r1BYpArjG5Zjj1QHd5chBYQecoygUnutp1xWXdn4MTGz_HvyV5tuJFwCa2DqmGRRthmYxJ-GzG193nPYoSkoLRVu7W5l9R9oojJKifVSI3Kd24oIIBW6aJy8fSbOjClpeN2gpmrdp_VTYicmvH37FH377mDszXc1-lRm5ocnFoS-1D75qvBu29Os19yFktXB-YfwcotmyMKq52lYq3FAtQFkyq3tRi4L9kgPTvxegsb9HC_2_deZLs49myJEdw0KEe66URf5IxBulI8HmUws-GXVE-lHrMOwGa4e9kMW2sR7gJ8PnHSpnn3QvMy6SsWhhVFLVD1T9CbIczhl&amp;type_route=efficient" xr:uid="{06A90BB8-5636-42CC-9899-56D20F103C6D}"/>
    <hyperlink ref="G38" r:id="rId37" display="https://qualp.com.br?data=nA8PB9hjQ9BhalWcDWA3QSETSpDXCIPDIXbg2hQo9A3A6hsLW04T5ds1j2XuuugXdWY11Sudsc4ALMaFgaGNF9jEyevp9akiCH899Cwi_TyN8g9fWQnreZfQCTddjn2VWKk_Xlzzfc4T4nj8OL-HmvtKHBAI9Ezq61KP4l1zgr6tz518EAh4DbWziWG0gkna39GgtbU_nOlVXsIAfbY2F8nT-DHgc01F_kEeP1fqHzVvRYuh2r_kH-3FEkUpe8J4S006J8U5ggcNFNOt1wG-00D-Zz6x57oWXJ1U3Ss6XuHOVLb-soF8YDN7hXRH0zFYvBiDZ9CTQipgRBm-PvHfOs7tpjU3ewecn3x2_SipFq7T7F_q_06OMBzZRyN93uFx7qvBdTKTzVoID6OCHAWxzAfLzj8cOc3bX2fSSpITXBvJkhiMu8L82ffpmSp-Xw1FT_G4PDDRTXrhLVZMkQCGf1Eg16-YrHn5y3o1CIV5jyzI80fBPrA2HuocIW1pRNoUgtb03KtKB6iPbcGb-ZroacgCFVV-qmaqBrUhmOWrE3uAR8ddze8gaIqWnMXDWszfiwk9qA&amp;type_route=efficient" xr:uid="{32B0203E-AC83-4542-83DA-D9E975A5EF25}"/>
    <hyperlink ref="G39" r:id="rId38" display="https://qualp.com.br?data=ZMFI6Z46D9vBFjpKZB8Opcr-mNFPJgl66ECdAyqt6Hnl7SHfGzjjcjY9nSFfIBttKgG1UBWG_J69Z5ZUra2JoQiXInidQvDOgUq20h21IemQqMTNK2qhsMrlwGJO-BNlZ8A6JfOi-UcEUs0AyrSMlplFOgtqGFtoGDtXM254w_2dwIsUWh85wv_BL81n8Q2Vt-Bv8DzLMzUwmg65Ps698tuS-yzMqMidUlgSp5km2JnrBmbIRiouyhqwA5OoT_D_xJkXmVDYFTCm1BZsGjRv9JkikaW6yOqLdm9BtiuctDjriUVYtVRGOcuuOcNHPs-G0XBP-_OzXDOyoX9HWm8nR-g9ZzbzMX4Aj3WSGm4BtxJrG9yKjnyKz4WtJ5AULtUQ3TDuULe9wODVNE6IEMerF86PcqlfzC8i7YSkxPWxp-9nCBxEsgM6AY5T57Fn08p8HzUyhLkdQBeBmdymOCXGh2EMZTh4m3WSeUTdAmgfBA7GTl3FvzhAdSJNNpAMkKAP7RKGkfCr8jkf9h7Q0AKv4YoSggUVqzXVOkbVwhkDz0g2LR4197cvxoP6LCXVrshSOZwYhoyPzP5jJYDAs2RU&amp;type_route=efficient" xr:uid="{3BEAF0C7-F5E1-4786-872C-F7118EB59296}"/>
    <hyperlink ref="G40" r:id="rId39" display="https://qualp.com.br?data=7aEOdYPb4ASNCHGUAKuTBjs0lnCDlvDqFWbNwcy6Y80iwblKxKp-zOlrhNgBSb7L2jFktG14yZpM-NUMtfHhJGn4-aCQF0z-ZBDlZz6sQwMYCWEgAlwuVYjMP1wpo8ahqlVHaOrtQPsnLse9Xq2UX6Px2muUsCkjYqkyZUklu3G9t1yVePZy-ARagEmedIFIzTFuewlu5EBGn3F-gpALB2tMss_ojDEC7dp87ikyYTqbTCMRmhI70FxLc886ZlXxsRhOtyuXsxLwY8VnOsUfQ0xySb5IscGekGwW_blZ_ASR4zv-y6QIR-AiVkt-ZioiQXv-k6lKTTOYkSRptlPe_HHh9RhYhnZxKMOqyfn8FvKbb1UH7DT4DVGatqfoCwFAMky4FfI8T4HXf75k9np3lo1FGenknpZBvZfgSv1Mz9v0RusV0p26Y83xE3DH4uNVGvs8_K-RD31yy_fLJ_dPA2TqWUk7VWfR7NAFzIr3gvlI3qrXJSjvgYbNDM4sEyyfGncC8wb_r9_hb-8Mz1wrGUx-jb6sYrIteQZIrfWXKWU-M8fHDosFnrrQfj67oFw3_EdpmLiz72LAP0fmqao84Kc&amp;type_route=efficient" xr:uid="{8222D8C7-D57D-4180-AA3C-CA09756C4E12}"/>
    <hyperlink ref="G149" r:id="rId40" display="https://qualp.com.br?data=dCUu4SGOi2rXX6jBe3MVmIRKSGm0BzvmGEMkYFOuRJF57wUvtg_6oZ0pw3wGRSNcdfRqz4gwOBr7EqhjdRubssZNqXCSjEjF125V1QJITalMy5Z0PHrkPpwrWN85qmqGSWggEeUzzGiWhjUdaxZufwnCbU89G0jDnJW9aX01Jp-0n2NUPFVaOHNsG2LAq6yslmLPo2TGX8_e5QMitEdM195w-ud8wqEpzab8LytMUcqJyZ5T34YKoRiX6mbuJ81k7X_K5o6ggv8UeqlOQ1TD8Ao-7OMWhtiGNl6W2ms96gqaWErBPTxNzAsQ8SOuU1rPoPFiAwxT6VP2UdVPuE4u7-L1dD0Mp-FteJNuEOMNf80wVzzn2U5DP8dtIPRvMLLvs-1FXwAiVCv7-ueIVtKNHblvfuaIVOoMnIpVu7YC7ywhKU1YuvB5bdQ6QAJtTfdrX_JIGtWKq-374lPUkodZNJQ2PlMgnQMhjbuCxkHuk8PjdCjsezUN1snlf9TrbamGRJfEX2wlYRWNJoVbMNKRG-kGiR0ZxAx9oKX7YeHfBpRTLZKzq_-p1p4qWgcrS0cEgg&amp;type_route=efficient" xr:uid="{6617A904-7683-42FC-8C6A-BA7D24387E6A}"/>
    <hyperlink ref="G42" r:id="rId41" display="https://qualp.com.br?data=cJqvUljXwDposzAZG6xii9b5-KnhXsUGl2RavEt-PEp6el4bGjz1eOgJGWrdNsisxlpc4e9052Vx5wySwHg_CvK1jSl9xGQl6F46RmFDEp_flMG0vt5ZY9iJaoqSPgYlS0iS-FZaJO5fL1rRkSqCsK4WJXagucjccSALM_c3QEBnZ94m13lVzEdXaI_x28seiKg8-7XZ2t2bR7znujGlEfVgpeXtAP2E242Riz4PqlLy61bHKh-1u07eeoSvi7CTJdH2RF8hnU-Q86dXPkxooRKvUwC7wTu2LJ6vEHcWmlxtvLpJgF4tERRJzMiqHiZhp8OwdHmY0EsnqQZx909iql31Pnm8E5ADygj73k35ataYk_BJ0NRrjyO1OmBedBx-1Ci_8Heh6ThXyp_k6Ikr94f97yM4eVltjso1n3XFtDzOWFOURAA5H_leH_0N4NmhyJCFyqN8CIq98xMS5OBIixW1eixJPUNZ01fpf_wtovzVtHeM3s-ZZ0FYHGaJnzq5kPqZDv_wBn9wOTJSLiROGX2w5VY3PXkVnBNdB4QgDG1d-uLdDq7av4JvwEL-u69ulU4&amp;type_route=efficient" xr:uid="{AB8306A5-48E8-4E58-991A-A14C26E8BD60}"/>
    <hyperlink ref="G43" r:id="rId42" display="https://qualp.com.br?data=Ofo1dpQsBudG6fwe_MmpdjRdZPjO_SMJl-t8aYSnPjXO6YWwaYHp7QQFmD3ssVBq0OL8Gljz3bcHrwp8KRLlPZjXefOmeGHC09L_pElrFRvD-e8EDbN7H5JoQO5-GESxxLyMTDIQkpyiILwkQ_45oAekIpFwzNmjGHtIUuXCtwKC3nht0Kzsi2P2XWKe4KT-aUoEQrZXqHXiC28UgyV_tnojDo-VqHksHAL_fsS5IYx9zayr_oBdOX8Mtuc-wKjL-EdoGVSSD6dqA9PnhA3cTTzsNnRLusYnVNAYCNcJml7Ip2qpTUPQtesmn-8TOowbcj4n9Pe1p38WXLPCHf0DhgqWuV6i1lb1b1FUL8_xTa1ytiaWThyXVgvND7LTq7JyTeSb8lQoS2qptexJJ377n20LodiNGol_hjAlG_TJQEoTyE0SrHQHlBlo_9hGSvMccOxPAdZegBfX3O7ymiGTZNlpOk-Oq-zQtoBLCN201R5FsCbQLRsToOUlkwxtsi3mVNQf0UzMjicoIHuFUTl-hYhUkOjuYiwaTUsJ-2Jrir78bhVZhyAPPZ5D4aq_7sfE-fuNf1gvPZwDjFM&amp;type_route=efficient" xr:uid="{FFDD7687-6682-44EA-9195-4E3C26883015}"/>
    <hyperlink ref="G44" r:id="rId43" display="https://qualp.com.br?data=XhG19owJX_X3PmQnRbDMVkxNgFN_7bvcNAXgYM-bOeLvPl_ZYKrKTMYKIWbXGL6aTErrhHMp_EPPQ9A8FA89gtLE55DRn19IJtyQkAHxcAsLolg9vyRK8LGBm0DgOcldDJZ8ZHma0LOv0UqApGC_hiUJ_AI-oB91CXZAxVYcN65Bf0bxu5rM9WfeyYZ0oWEfi5a32pP5eGQ7tXI1bi1h57DmGpUaDgxHeNYdFUK1s9Ly9viGSEXV295pMODBXNBnbxyf6IXSPzgSNd8Imhhv9o0n9TlbZko5PDhAlgcvbzLuyv_Iys3D1_qzKoc806LcZ2t-XjogzFW2BpHJiJp-oQfOwOgX5YGBljm2DrZ_imAveOjUxIkyCLRN34J5EBacfQR2qYy3-Q0gkr60-PwAiSS8a18ui89dhxAzVLyhfMu5KB8JvM5ERKz5l9U3COopGprB334s0w56-nVn2T3ZgWXiWdla6YnAUELxZXJQJqVWsJTzofXnXWI_ehy-Xvw1NyWPNgvhR06M9siZdi22e-Ja1eU87wp7Ct6aaD98qY-bXKTSeemnvCCOr3sD9VWitZBYpo3k&amp;type_route=efficient" xr:uid="{5714E511-C2A7-4B53-8960-580DDD11907F}"/>
    <hyperlink ref="G45" r:id="rId44" display="https://qualp.com.br?data=Dse9Q9U-DbcIjMLML6kOAw714Hf3P1vjqhMRYJunJv-evhhFejfRVzceaqDlENols2YfLMjzEWWWPm2JA6DxLJDhqfEkhsKzZ6bj0VZ6TBVzlSLC5bZMldYPeEpUeUoqB_E5Yx_jXtCl15RaCJ1hDwI4c8DCWb4-3A8520h5qGdvRF_PJsR3rT4UYMmKvKRzsbDiL6k0bg7dmfHFDGxni91DUEMPSI5aYMGrjoH2Y9h9cXfwyyJv3vHc0NcI76duKr3YAAzM7ARdaEarxRhMfirOUupiBAzQfzhtRK7CDmn2QKhvkssvvQci6edqS38spp2eupVVfPA0QNF7pj3GpOPPzhDs7vGSFKT91sFT_f5IZoIKRgmhBKao80kphM1g6UMvQhMB5y0dN8qE_bgNCtwOKX9UKuy9roSG7xFk8wJ6Zt32uk92Uocl_jm1XQbHnenUHfsJ6IIQqoJ1arS1tJaTiMMonC71tpdClSl5J3FsV13a4BxywWDsHfEc-LPpmLaJ4ic3hetdg4Jvz0U53VeOONDpUJXfpV_kyvfCdnQUXoN1aD9LTGqFqMoy&amp;type_route=efficient" xr:uid="{1604E009-ED75-4AFA-9AA1-319095343C26}"/>
    <hyperlink ref="G46" r:id="rId45" display="https://qualp.com.br?data=FXSU2KeevFA6Yn8_s3d95WaY-BEK021key-67kNKCKDrdeVxNSQ2JNduHcWRUMCtKYXfOpkS-k2Fe7ePi0WxBongGl8HYHQoYopse5nhJfFrYh1YTJb3_aTNZBp6wb2cuAbesLe2WqYli4D2Kal3qDvO9e9_V5b1Gakh3BZbjALbc4zIW6VaP5hH6Qm2JK-0r3lSnyVu6UOCyMoTrQXzGOmJ15a-KT4fCjZsWhSQ0XOqDTd7Z_MXel7VPAGmVGyarWIgs-75Tbd5oM-PNI9vYD9o1BcGX_aMwk5JYoK24cKwwfpiriGbF7Mn-YYsYs399w15oB1iccQoJC-MGXZF2F63pB4ES31eyBuMkkGtkcgb-yFyxOun0PiCu3mT1dD-Hv1uD5Gzi-d4U52V4sW8NSMfNDvfvZZpuQ4Z1H2VPdeciV93t6EiM_7uIn79kRwi4MDS8HC77dDib4o4luQnzaVXKUal--Gs2dQVst_e_Qdjh0DGUb7DQQt1BstQxUXJZRe632FdUtr9mtuNOYtmAtr1yfNGpQBN4E3kVhhHAeDgcwsj-Q&amp;type_route=efficient" xr:uid="{4C3B406B-E108-4F3A-A49C-32D27FB0C518}"/>
    <hyperlink ref="G47" r:id="rId46" display="https://qualp.com.br?data=8zrd2K05YYCgXW8nl-C0Pa9uNiYwwA3a7ioiLRMHDTRbs_izJzGjtVoFjOQwVqMIoL_cNGhsNlUnN0gxh7tgjZ9Chjzwcyrcx_Xh7jiVbm56QLn5qY8ulOVszqv72x-qKmmEMoxM7lb0_hpgfJ5127QjqClg1Iq6AlS2wl4aGlNYWLooVKbRjtW9-8e_yIGS2L-lax4-gdIXu960qjgr4RS_WBTjI3bQPu4WsVjP9kOVg1ump92MtLD8Td4_z1QLxIFS76Zi61kev_6gbXHoHYLjGUVKjHOJhN1IxOi5Thbr2YTJQrTeo-h7K2XUdgOWMPyDBqHX5RwKijdrmwNXDbJGXqR0QMH_-dUmdQEP7HXWHGvhxp1SgvZrXTtxEx8dGgJWiyYyaZlCpXbSTbOv4yHq3H5t8L7fiBcQb0GdGGu0N9f6j3eYYn4Nj2bnxHJZJ6m9WTudnLRivtzd_p1wf0Mo5H4c2FPVpuEqHEvPXa0qafPMq-MnGtcYOQtriO_mRawlMzWRoGDBPIJ552K6Ljwp8KvKG9lWbJ1409fxN8bqhAXvCQ&amp;type_route=efficient" xr:uid="{EDAC7587-5FED-4C13-98C8-0639B066CF0A}"/>
    <hyperlink ref="G48" r:id="rId47" display="https://qualp.com.br?data=17IF7AEBzZsMkS0MlSmWtTI_WZK3wbyjTbVjUYOs3fnmk7Jk5x7W5HKk7OcHRRvE0ieQP1HpztXax75tNQOHmjhk_ErCHW-rM6G-kjW8TTAIX2OkmRTLe2Rv7sleuBrErE6yjIAzz8xZpvq-VBqQkaW06mq3qCwf4FGknJ_3q8gniNLgEcQBiSpZ0NIY2WjeSwflWl0R6Mo75ecqOvZn1-FyFkypkJAaWX6TV_Mj-x8Qb0O69kn7cxJL7bX5rp_dJhDlYil4sJfAA3gGC7BPjSLWquWSbJea5bYW3aG5ucq4ZpuJjkSUWe5Hwxfd1Si2WepPKpM290yBN_fGl5ZQkdkfvGOb9uGEjxeHKhTSo3JrqrrgRjDdjhV6DVlX4sqdniUwobDtogbcU-YvXCe0N7DBQbsbHFMA77wAnqF5LMTsFUnXVyv2LBYovqH-8iEarXIg9oANf83USXD8nyQZM_Yw1ltdJ0vedNsNhLg0uhi9nhKDHXM8tbeQxira1sGS3hhbV1pRlh8XuxJ4cFeZFMFMfjTDfj5AqAtXNjrNrDG-15eWn3wXhw&amp;type_route=efficient" xr:uid="{1457B6DB-6FB3-448F-8977-4272E9CA7F4F}"/>
    <hyperlink ref="G49" r:id="rId48" display="https://qualp.com.br?data=gomYOJYs7THdO9SVeH9rKsLmP9ehGXwAxuY7mNbX16WeLbAVJMU7-MwPwoHuuhKrp2CT_-JiQlyFLGj5uIQCAcSZxLwb93DERqNWMSdqkTQm7QfXXmo6slanjHX73SeeZEXboaINEcu5MXv5Fc24TsRvNtRFaNDNC7xmtU5cB_nx0y5Z2bqbbz9ekNijnfr5263uNuFYFbd8Xh7mMqacQSrOHFJwdPpt3bZuIE0ievJArhFMwonug4-ZOHJNSO02OsBeRMylhmrqGQvNNixZBlHLFHjE_jlukOduUH510GlKDe7E3YIK2Cr_RtgD1EboqUij1mD_b8MEfrVVd-eLtzT0vl6f-ZrJfa052JztUnH1iUGVHU2aXnOc7sIY6FV55DRTau4lgCSXJ-6vZFUhSTwSePeaB9_UXE-ZD3HuAbnCSrvk1sgF3rLEep5LKpuCIlEDBUfKo1JVYQ49zwtdZ8T3kiFciZymDTpNBqhEG5ymeGQItOtNrvZdNGK4C9JmN4rIAihYbK4zCpHSqdENYr9YSoAlE8Pjhehmf9ZfVmYcVw&amp;type_route=efficient" xr:uid="{303D87DE-2FDF-4F42-8216-5B20D7E5B189}"/>
    <hyperlink ref="G50" r:id="rId49" display="https://qualp.com.br?data=Qr00wTYKDnXfff2Ko8F6EA7ozqt4fSdBzhFV-aAiPKb7uBEmVu4Txw5ZIAbN3PDlAqpu-z-3Xsqr3uHxB-8pHNPKnihYxfXoTBwUjVPXuK2wgOs0Wr2NsJjXgamfug07AkbIHq59V41iJe7ksyUqpy3xeYAgfKWndBGPCPi60b6Dp0p1659KSFTbcjwmjwaEsqygrdDTLSbvnILNLd6uAnwR38pC9-_ZuZYKZZ89-8K2urRAFocOaV8plW-Bg2CUKX4lfv55lXEK5Jy4IXdXVax1u_rd9L2E8UXtJi9UUsWsVm4tRBJiXbkDndsjf-vL1fKvbUcjqJqXPpDICXv3SdYqKvH8fObLXumwGI6V_2F_oV1NULq7neF5I8nLzouomt47yIuJIHHOlS7_uhNPUSX0x_3wx8DBgHiIw0is3Ck97wOk0bxKoWJmVdzN0osWAyOKRP3zpJOjRWC8uA0EhItSeawSlBJJxsymLQZJXkJ61JIGRYhTbNe3ixTL8Ky_NdpVlZ63irX4iHJCo-C2wf1FmeNZHfHPXEe4-DNdjUgzTgk&amp;type_route=efficient" xr:uid="{979B3CAC-5A4C-432C-A07F-C05B133694F7}"/>
    <hyperlink ref="G51" r:id="rId50" display="https://qualp.com.br?data=P9fBHs7Wt8RnBdrCy7HZ_b43u-KyfF7s1YMQ5aABq2jlJyB_JMt2Iz1co-vK-cPs9ROCFttBwRqSS3rHVJG-RbfzpqyRXA4O-3QrdYE7AmaqkYvgXebPEsXNbsDNXnOJR89bvP4iJsgCz7Uf3hfQYn5jSRTGoUVq81AKdeFHJjQmf1F6OkSnEmhcU55UcqjUf9hvNe3fCChIgaZgLUFDCncgV8RE0Nv06Alo4igscwOTFphjnVghC9oW4hf4rmkJMxrSXnds9XO-mkrWh8xgihETQ6IKB7o4lgoz9rqQvZaPBGRafbQMgWorAHqUWxewTiq9BLcQjtksMf5_35i--w3KMdFxotiCCTzWQ2A0Gjwwgo8gQ-Vh-YfkbsPlkGeliXP58u_4tWn_bvcgkoFeOFdtt9G03gvR7DpzgjIr1or4MbnP59Xu9tBLt_CUhyHxL_z6DXcc1MDZJLG6uqIPcYsCTSJsl3wn8dvct4wmRlZJh9FAAe5Rw907idSJqRcMpxEiL-uVwegCT1xIdj8k-7hWDbOSuyFMi_qGGPc7S4rqxsLgg218ZrOsJ60&amp;type_route=efficient" xr:uid="{907D7CCC-FBEC-47A1-BCA8-C7139CE5AA17}"/>
    <hyperlink ref="G52" r:id="rId51" display="https://qualp.com.br?data=9oitADNEUdYWhOL6i9M2laRYbrb5TzI0s7bBgUYZIrPIFwXmoD0pvQvbBYI4HMp31enmAWy26u8rkH1kc2CWNI8J-DG4o8P16MfjDeYYh6uuUX9OPt_0QF8qKVgJKhil7sHjrKVsSbRVwUVVqfV7BUQaucBZbOopzcuhmowAuMvD-01VnX-4qBUb8p8NCTzMui8CC-_FuaVNfLmSggQPY2HeFAJHn1xqzF9OMqktJOxVDPnA6aUp25nVS7oAV8rKxV2YNv_SY5cJz2RbgFU5hz-ZkvjQNsZ91bwKTNn2ijqfv26oS5ovqQwjutWYwbVEcGgqA_yGQ03izrMkzyoktg2mQJsq2L-P7PSjh04OXHIvrI2hAMQr-2dvhTZa0XqFu8pVDFd4k7AiHcsLzzu-tiwZkseuJomjpBjtaC8edOYiDtuPxlIQpNBjURR8vmGEtROIkPF5318OqUSbjUIuv3g6E-IgNU5UMHYhoHo4z9E8y6hnhqa_cjXmbbmbIaZjcCdz-a0w6wnNL-czVbSOK1N_zCUGGkKppSAzMmiR9UnGtWU&amp;type_route=efficient" xr:uid="{CB8B48B4-62F4-4386-A2B1-50E69BEDA6AC}"/>
    <hyperlink ref="G179" r:id="rId52" display="https://qualp.com.br?data=4_vw7XKsOu5wsyz5epPyf4BCqN-ln49BQwQjQMsOd8GOGhze-YHcSeRcCLzq5Rp46KsdGxSPg23askl5_ye1XZsd1EeagNdq4IWaMYkMANNPHTgeizK4eBcYKNXKBzWlAkNwv-KOoJ69q6N3pdRoavjD_XYH-wzsDrydYl92Vk2jfOq7Y7UbTpoTiLn1Ok_w15iM8-9p3H6asLWrEcKanNoHq9UE9pbhjyjoXfMuBIe6sgk56EDuIGf35h0b6Pt1PWjPLIHGRDBiFSRi2o46Qy8bNsLARdfgyT7ljR2V3S-B3Dmo8XN_Q9FojhDj1nrQfZyTTb6HpDqAt-AR_d0Ym7DFUUgLRWiFhwB7xcLdN2eFoeZMWUK1rRrhHwIyAuZMw6JxmqUQgNygaQAKXRgSg4chCibEnA4qcrhUYTViQ2YTO7J-sBIGfSOrzkPLQNttkpglNSSwic65hnjwyxDSntAxK9D_--G7rqGNihbnnuxycryn4VhNUMS0T1lifxH04pDD8bE8ImEMBGismjSRyyR0bUEKMl1cJYLWP2MMPVOX4PSTMwe_ReWO5A&amp;type_route=efficient" xr:uid="{27E6BB2A-E161-4DE0-81C2-F5B49DBBA1AA}"/>
    <hyperlink ref="G54" r:id="rId53" display="https://qualp.com.br?data=YI2csiAVzHW6FGiHhdg27LXkUuyP2frM6cZhL8Ur1VapKEOdefyQRkk8RSGY_454iNINRcwTwy9bl--w2LguWKsC-4m1hyrDEp79HwuOsZCSOyRJmYUlGWJ91QP3oT40CQVx4uYEeGQUHlTcvDx9-XR0TKPqplNFVF3KSJ8Enh0D4fMuvx87D9zxNMd6ageysGt3S1Ya4bG6OZoSGgRR7SC1BFMA_j0EBk3xOhUc_iUm4rVoj5shbBtkMLI0Ob-D6E74hPUl6TVRNXFfKdi9lWx60QMwRd8_KtRSNRNqyez4__8_95eCwXE1wKc8UY84zc_HKpe8U_LvO8nVIhVnn-jchufZssjJDWbl7ptFn5Iyi0kWDbD1I4O3W7VVADTQ_Pc2oq_8TQt0GIavJ_wZcUXrE96oxFQZlmUdc7rRpprVuEp7m00J552N7BZs0yWiVnxJgIb0KtyPdlCKphKy1rDGVbkoUSpFajLN4gfCMr2N-qxbe8yjQ3ZNAtUeDZ9ysvWIJEGxwwPIlB9wMN9Hs_RMRz0e8uB-1avvjXxIuhBZ_RnDvA&amp;type_route=efficient" xr:uid="{F51E4223-81C4-4CDC-9D20-1D615C8CB07D}"/>
    <hyperlink ref="G55" r:id="rId54" display="https://qualp.com.br?data=kJRMtHpPfNC934Em1v5ALT619p1rbS0NdI1iTyzji5tnif8JP2sWUiVFFxabROsA3_DDEj6mm-BlX_GxIGaj9Yl1nghr3DFPZwlKuGmL1Ep8dHTPD1Gqe32Imv-EMEjN-7aomWsc5HnCqlfPgxgMwkNvToCPE-yIz6WwmvOrxoIA2-PpnkcbPCD0x_dD2yEKhYH5IId5P8Mt89KlZP74nS75OOKD32mWCcsig-sHDYyJDfWQ_DywySvpPQJ2MLrxlp3hNd5J_-5p0yPs2QYvv-vY5ydyq09GzCyf-VozGPR6r-2xrq-2FsS3U1ruXnCLXi1iRgAx_UQnjd9WqP6WouYaoTe42rTAuugAYl7Uvddwz5VZYnQRLQiICiRBVJzZMUugj4w4D7lmwyVezSBy6SPqhmFRiM5UPHspbfgBURbcxT33zBzg4Y-t4-kkEbCopEr56rSVEAUzQNSisUgtj6CNYPC4b4qQUi-xyRher1iwxe9PWoiOYZDhM63xgys_aXo2xgCuM2S55BIw2i7RKN5td6QxypI75-L6ki2uVfGlrd7V-r40bj4&amp;type_route=efficient" xr:uid="{A7DD8297-BD61-4BED-AD49-202F3ABBBDF7}"/>
    <hyperlink ref="G56" r:id="rId55" display="https://qualp.com.br?data=itNgaUM23Zz2TFBCIYDMtJIazjZoMlD7GM0W8LcOs-I8Zq4xRXh8MdxpYF2pgHCWzwIrryjs-0eMcQbaUl_c43TdNQAjltqxw0MhkmheehhNb2QgYvm6zXm1e8ZcwQMQ2NXUPPiXYrxuLWtyAQnOSvrqdDscYR85MY6ME_Ay5blSqw28enj4HNW9mCqPgwqOr0L9zCNow_i0h5bdkUJbs9MCaDeWkaEFIB8MAOwDvVD7CMzU5vS8NO1YIhSu3iiTJudGgMDg5vY1e3AZj9nnnlsjNEUm1jvZPev0eX-XoZpQ2Y0d8vudK61BVw9TZZhTdKqcemUNpgYJcyKXItVk9xsNk-JLPuTBTJpyeGf8pmq4Vzh3jp1R2E3OP0SRDT-PCPGsk5NNi9WHYCizJYtR1Jknw7lmoFLocN9FoJ5L_wcTSaC8ehcIFPbZnY2ytv_2USh2L4SwoktozrASUSIpoEJ_zTcd7-jw8QZcH_M-GrkWKgIfwpRK0N6DYMTRVqHat-Z1zDUcmBmPv86VVifQZodBQruBUCr7OTYPrQGXN5J4UA&amp;type_route=efficient" xr:uid="{C625AD0E-4CC6-4523-A8AA-0268E8499F28}"/>
    <hyperlink ref="G57" r:id="rId56" display="https://qualp.com.br?data=FSMCUK0illLoTrgW4I_QVOAeKNLk4y6-tLFr0w3eQkpEzu61mobjuV6FqfgneHNKLSivCJMGdqVa_Rlm34mWT0TGU3_21oBk4VFuo7YeS0DABoCJ7IyI_BlwytPqbF194RXM2NzmhVFz_FbCC2rNdjE6piy5QW2hpLopo6gEZ8Y16uvW4hyIfRQuzTRA5llzmHY7Qurhr77l4q63JmPmUMsf6aO86zJNxx2E3JU0h_UzSbxUPjBacSJIdn4-hdaDAjdqto1Vj-cJ5cdkXVkuAniCyz_X-CnoOOmlxQ8jA07VwNsUG1fDkgshe5GDAxzzHFwQbdNgx2Db47_e54yDgOVk1vX-qHCrwDNFLpJKUngERyVLss7spamQlxAeYFPAQa5Y9kshWCOM_3tqjNRRZfWVb5thiPxlmG60BIu6z7M3d6K8WmcTvOWfYw0ebjKV-4dgBJpVbEGv1W4H4LA83CB_T_vjtFYGovEmrD2VOc6S0LIaBR8DJlWDP1DIrn8QEgXs8K4sYUUQAxG_wzMvkt2QC6iWn_-yTgPzfnLh-qFof4QVpTI8xoE0CCq3AA&amp;type_route=efficient" xr:uid="{0EFBE4F5-D502-42C9-BC4A-D6589BFFE9F1}"/>
    <hyperlink ref="G58" r:id="rId57" display="https://qualp.com.br?data=jr_bCrkQCv7nVj3k2VsLo6BNCk9BA2I3RjRctEpHdpA5WttMnYUccn8QNNxqC6vUzGbmHJvc83km5MDSif8faSWSGp5Y96KFrHL10MK24M3-OYx68m3XVFZd43Evsv4xsJBNk9kStTzH8oikEYl3jeSEkfWSW3ovelNUhWDe0P5uQRDI9c5x1Ih1VOYWntBwajuSOxFuOOQaN3RYfabuQRtVXaN_ectVSsr7Jh5HqgVEtmvVtInKtnAftcmKayeyWM8sQ_FPNxAqp5UFNb9m3rlXhD_ZBDD1Brb7TeeH3unQ0G59yZtCuZMzZx7zAFxx8GH56GT19Z3xIRsuNTO5vOO7ag_8CYPwFBUQFJtM3ztHaxWkXi7AmTKT4xJog0ek149OhI6DaC7ScUtBln77hdQyfzeDWN2LfcRo1j12VPvwDveJqpMHzTywojpIKbKnm4m2ye4o6-nfpGp6YtbwDv9LBVAXTrZP5Iqklq2BPJ2DA2oKjPDxlyXlrn39GMz4tQ1V5yHeE-h0kTb50Mb-pjPy7XFU2imgZ8lHZNeiG4I_vnGgiA&amp;type_route=efficient" xr:uid="{721DD245-400E-4783-9337-513C9AC6E4BA}"/>
    <hyperlink ref="G59" r:id="rId58" display="https://qualp.com.br?data=-UtmheAM9vIbN9OawRmRsVkewM5jekWrx700ZNX7PhnjqZNUBomCDjpuXAq01jlguebeipzXDRPq-xiPMW0D9TFYjWV3DLTcpTUIpm80il6nejmrqBQGvS8icTKfoYMV9PzzHS2VuQGDADZ2qo_AsK70sBcNOtJjhcDmmbsqp6iHega_fyinODS8VIv4kzbnuotAaC3_raxHVO9PJ8unNwZjBkX3hSN8f4BMxA_niROcaqvBmyUewaTlPk5Euuc-6DL6xvvDHilcVyZ1FGGfyWCYMmRvNhxN9ALDEjztldTZd856SlXZZxp3wTp67_B4UA72Tqk_TUrYOPzA95kpONgMW5jWlxqF8oMhfWc6Qx1FYGnyy2tHfgu4gKclCAZbZSyw_r2ub1Wj7BXkz35gTe2ABy8mAghxQdGa39jULZ3HZQKmvVGwupE7iV_CqJ9vcE7LRwICKSoTNxNsWXc_kPk2kdwW-ymt1VmcQWppPe61moO0bUmGsz49vrvxe5OQvxG3gS1r0EYSHOMKjSHuFYMqYL9NCcxirbibqCAndb2rxI5qjE3wdF-kz9ANcQ&amp;type_route=efficient" xr:uid="{F8CEE4F3-1387-4FF5-8783-37180D9B16D7}"/>
    <hyperlink ref="G60" r:id="rId59" display="https://qualp.com.br?data=x-0qxusN2RDZr25rBIyc8Df7obFoLxa70GNZsgiojPrMeBrTVrvPEorCYv-FcO2a_tGRbvu1zc8VIK77o9yCYWN3Eg1S4COvVJDtEcUVR5J53w613hhbKmilfveqrwpbj52f66FsUYpGl3ompteRmrvpRkakSZg_WIiFurscD3MVidj7JhVjsbEPHLKIB9ni17vsm-Pngw3VAMMhahTbpbNcrVMqztavyiyllSdNNoBoW3EXcBHzuvldqNRBfVDFCUn8Wt_4ZFyJaK2HzYMMp5zeoQxSaRhfoPtmDUwU0uWOzv9OYYMEX_K2eRlxmUEH4Xh_F3DQXAICBHRV8yafmy8CZRFoWpJekNpp5el5sCruUpipRuRBgctnRgDx0tSqLdWKMnxMJpyKM7f17St-6-34PYWX20jjAfYj0bqzbjH7AaE-QSLOzvW8aSEEYxwXAIDL84gL78vD2zt25QOGJ6KYF-QZ2op8-AfehR70n_IsrbQ2PfGS2e-Emzsb8JTXDXvCZoEyAA25x4H2F6qn_3FLBU8n9pG7RhxpdNihiuF1of3Ax2_ilj7s&amp;type_route=efficient" xr:uid="{3F17CBC0-CAB6-4026-98A0-E819130E9FCE}"/>
    <hyperlink ref="G61" r:id="rId60" display="https://qualp.com.br?data=69jEhYtTo_T7It-g-e4yVSx80P7xy61IVnwXSbSFnfd076hL6_ByyNjb390U05D2EAMCycoii0v1HQ4wOVggwFZqQf8SW0BvOJ8g2uR95KcoRwxPjoQ3M9f9pSUX13Z8IR_TTY2YN2m4OrXaS63kIDq5LrMwQcnhLQyMWr4er1gKDOM3W2rwFT0araHcMrGFiNqbWB2e_h5KX3YuuFpu4uHqqdM2OCeRnA7EhlROez3akPerP7wWQp30XpfnTCoB4QgBFkn22ZSrd1P5HQQA2m3wxFJSVdtVmRCGca_Uu3Wnqshh_UM2ojWL5tyb3APDRBp5I72D99WCmVLqcrnsU60KS3_4fk1r7qLIfFAQgtzpHfRiqLv2xlFSKSf0IqmWjKHOEUL_gxbNE8Aoc90dKPTpSasX_fSucCtttMWNCY2NSnyuLPbhGk0wE1Lc0F2vztgSageDVgUNiJth8R--a4Yrary5anLiPIboaIGAOCSnQFw2k7m3H7ykYECzlh_NoecNhGw8sQD5hzBWTpW_wNi5oPazMeBUZys5nnPPjS5t7vz6yQ&amp;type_route=efficient" xr:uid="{8F3360BA-E33C-4C0B-927E-F5897CB92776}"/>
    <hyperlink ref="G62" r:id="rId61" display="https://qualp.com.br?data=2nHlhG2w9zem1tymAJvFRwbNB0SVU6nbUiUYJKIa4pvFSEB8TKK-P--Wvohz4OmuY-iy9Eufow2i6IdXhzIC62JssLeFWOfZp1PFgc9WuxFaT3D9dqhyaHPMzLlYWT0ofKw5jUNN_72aLVodS8BZMjNE5NyhnPWOApCkCZu-5Aj2eZ4o0hwgBDiaG_RpzbdRDYofHjs94Khn3amjdIFtjtoptuqsvLC6gVN9C1Wy7Y4dYZ0xENJLWD8gUOs5cwR79P977ADgt8-jJqtZf1S0HBABbaY0lCSqRrGnzJdQwmx-ETItAjmPwsCBoiewTVV61YM_1ZOHmizrM6NW33tsYFaQCnC9xEeCTwt4OjIL_ePl7_eCgIuOKZPB8vrLuv98V9etji8Q5QrryOcmlvsPbJQ2NFW8l7dmZHmJbyrg3pDRaudXp9-4NVbimkGeVxJWCQYSTvAywedJlgIkcP0mwOBo2tGcAuxo1C3BE-08E4d7XBXxIjuYMhXgVRc9ck5_2yOY1732WZVzi6JVvZzmhqbQqiXtqFdFW2yLsz65k_vNtVt7JQ&amp;type_route=efficient" xr:uid="{96FE9443-6725-4AF5-A938-74DDF6245C27}"/>
    <hyperlink ref="G63" r:id="rId62" display="https://qualp.com.br?data=vCmaaNC6BY7AqschZ8_JFWOMit4WOJ0Z-OrbnIgeSc0UyZVBIbr5uJnLVNnrX-Wyyxs0ALy9wKlWL0uWKXvOts104-6Y8l9KzvNwzapPVLmhpBwbjzek1_YnLmaZAxJfc9ppJPitna8wKrgvFbao1am9wzwxziTKYhk8eQPjGx3S4tFUCyi-VyTgvE7QXBtF700_r15_fdXSeQHlUgm3-Qbns1Yuvsp31y_OPlxeKlEDx4GB_bgivBK0UphWOpwkZrMYCfe3Qxdipr1or1bnQ5NwVFd530eyDjLVAiKRLDd4CQ1FtcAP3rOOH3-qVRy5GNrRzIoU2_-VIMPERot10vj-dIxVRrzjuMGjW3x4_Jk_4MIeOKXf_pXFmcomENWnCHaqsfZFfNJ6e9f-mty09dXTD_AmaJVxlg_no0M1uXIMf54bByOFinhqMQkeyNfWqiE9zvwV5H79eXWAfxEONLMja9U8Bdp-evhXOjARk4fIv_P-qUmGaJNgsUyKR0qkvAb4Iy_WQqsucUh-epvr_0HdY4TANaP8r68p83FIaSL7OY69v7GP&amp;type_route=efficient" xr:uid="{14771CE4-7C6F-4FF6-A728-A9E5D5B0DE58}"/>
    <hyperlink ref="G64" r:id="rId63" display="https://qualp.com.br?data=OyF74XBn7BtNT5ztK1aVb3AKNy2dFWg5S6_mlzTOATS2n9dUjCKbjIy0dfK50lyYlueZNgh775ZFC9agPBZHAalQSqVwgNP2GITDP3mM48mTW5TaNNlNSqfrLXmzSUblrvuoDJJY_B-_JDUtWWjz5OPXmdHC_N7a_cVWCjG9HkZsn3qGbegVyqWZItfMpP45et75IcFXyBgVa9pNaqMGsKV7a5ci5iBwk49rnbiC6w-D_maH_2j9EQwD8iQ7NM0Wj33vHiIzEhVukB8FfB3tRi5-3rbkkI9MJU7MixC8KKAajNfodf2GS948QIefkwHUorgU5Z6k_WXNZ4zbI-ikaFhGeSKuqzfxJKm_9m8Ht2k-HgOqslRMKDQzLMI_yWi6qXgkhWzN3Fj9_UTx6xKrnFRHUfPix7Asf7nlZ1xHHGbCWE0eWtVSoYuNgtq1D5dlQ-rGRj4m8FrDQGsW_qKVQVZDaApG_e2gRvjNN7pmVmd-YHzFq3HITAfdqrTQTgjHeNJwm9HbSaQF_ycRj6R6uyKGY0RPvKT-5BYapAMday5vNf_NJkk&amp;type_route=efficient" xr:uid="{636F6651-2EF7-42FB-ACA5-2D60E5F79769}"/>
    <hyperlink ref="G65" r:id="rId64" display="https://qualp.com.br?data=MCxuaZJ3-M098WGxDg4LNWH8WvpylXsqdOLmXAxuzx5enUPWu_Vj9Q37izv33AJK0DH5Lf2gYC8FmVi8_-dJrrFfxHCOnf1EJcpXlVk0m5pIYGI9Z7dzVhHYXpthoyQLQEa9A7DosDVWqMW0TNIsLumCnF60CcmZkdJWEeCtIp7Ec2nlLTVqXH5OfSTdzNk7CNxjX6SixU82nNjEjnzqbdIKuZe3RibDKcdxsr0nPi8fqcnbubMYF5LOKKVLrWJmQrGjdRSTTQHFXOEbEeMQ67yfUJBUmduBkziYTMVp45PvMv795F_jgxbZYJjLSQYGG7Xhp6updoyStYAKQWS3-CzVvkMd0OMQWnxnPO0n9zI0SCHP6fUc0VwJwFeUeWU-dU34CcU3SQBMHH8qy1ohBoJAV5mOXJEGGo-sEIXbBHVcAXsAHKpYXtMrfIw8vXeYt3XUAOlzOZwqH3gb8-ptE0emYy51_seWv5f3Qjq9X_h1aCeO2d8nHFB4GWviI2IxTx0NmR3FNq9YrZ9TDq2p3daSgkOzYMsVKPqfJzvhmLUgrCpmUCap&amp;type_route=efficient" xr:uid="{E3A162C0-F5F7-4F2B-8F6F-D40EBD128889}"/>
    <hyperlink ref="G66" r:id="rId65" display="https://qualp.com.br?data=tqMy3ZUY-Hx2bj0kkVvZvQtOLLPJy7pN1udlhZmZY1q-5G0G6Fb4B8OrNtMK-gSVt2UvRe4tyk8ue-JK2HEQGIaw7tFGtOM1lM4pH0_10u0qyS_v6-DWUURMMaD61VuuRu02F4RBC6CK3fkEWo76KxzCnp8d1yjDCvZeKHdMbpQjM3QW83B_y8mks2AWhfJxdNipEqyvf1Zymm3Xq0G1SDVSrKuyKduHgC4_wgbUwYUpDy835btb2z4g_urZLV1IqrZCluZqM3peaS2QFyZQowgkqvhwHpQM6-v9hggu_qgL1Gxcse6pIwbW0ym6EtMJvpkDR6hhIqmkq-RxioxrBEwtayOLI0kHWkBxACIXabgpTtGjuyrg7piskj-4i8V-15I5_n7KW4hza3ZOwT7_j8Kc0rgIzrgVR63Hvs2oy3rlPCCADjMpZWD5CEZQlJSZmnmjCh8Y7GEO5plvUHxr_vmrJAQMBJrHygvtXZZRH8hzzOEcnyOi9Sg4OCJCsyrqH8_fsPPBHlU8PWBUcnp8JyctmW6JwdddqLn40uwqw6nPJ98&amp;type_route=efficient" xr:uid="{B645B608-A52F-4F5B-AFB2-61A449CFF3A7}"/>
    <hyperlink ref="G67" r:id="rId66" display="https://qualp.com.br?data=yDX2ryeo2to_elcbCax1qHDidyfujz96WpPqW08tLxIMj5v2y8OvHb6Jp5BFzND5CMU5fGiNuAdwdS_SFUo_ByKXWqZOsNTyZVIz8Wumz2MEVVXhdpm9Xa0MTNgWgHt07S0ipaayGeMBRBTmRMGsXk6-d4p-2GCXex0Pf60w1mJgDiwdWnX6WyvXSU4XuYwo3GKerpEZ94kG0yy4rGSiWwK5mjcFRM8JK9sig2rm1R7qEaLydlM9vOkbxG0LKW8m9p2c35Have-gr1sGOk2pfMvqrhA0swuloBlYzoqvlOJrjq3T-AoOxEcCWB6qCZfZ0fphZsfBWWUAJ3VvweO-OMzi60yAAl6diN_wEx0XrJFIrQWbznpfMpJDM7zE8wntuLBtc6mfMBhmao9FismsnePRNxit67OghiLroXPigjZKES3SnzdwnL_H0Fm1vATQpwHJ8cxxJIrI7d_lQybY_Mpiw4J_SKZu-2xreTRUqIT_tEdDUZdI0iEkPHHlZ0e-itKw_JDSH9WcXHDgFPp330JM-cPI8q1mIIyhmIuk1FjPO7oNdEkcoA&amp;type_route=efficient" xr:uid="{0DF43FEC-7E93-4828-93C4-08BEF5A4C00A}"/>
    <hyperlink ref="G68" r:id="rId67" display="https://qualp.com.br?data=8mEFPBHRW9LxMJKs-Tcy8Gbu-ghC4xm2LNx3p3ccZYeuO141MepJz7h0vLdNu6lxhOL_1LaiSkk1E1lyiE3rmzFrF7na8nFCjP5VbI9K501JOArPnfcA45AuQLe1Y_Gn7iC8vdsj_DPNMSNHPzuLYiaJ7kcnKuVYDvsEh3eKOKPHCXJ-ll3_gZKjln5bRkMQ7KM8IksoMHpQJQPkn6JvommDL8kMhxI9Y4DzXxDQr2_GTOYClAsjGgG0bj189qxdsbNpDxtzopo1y_5EPcvxxrWt4QJjEAmR6kKqXz_JbnkaWG3qC3njUsy9IwaByCnVBU7RzpJn1wLtUvVFSALAgAmDh7yYamvJP1afbXOQchCg_Awse5K2MFxtKuSF0gsfvdDQwaM6L4_UIPm3mzU4JNWbmjdfuabWGGspopZFKZOJfUXkw4TlS0942sR60omFGLCYiMHY91p7OwuDuWlRxWEIJyqhEBtBTKFUvthpij4w076_jmcUIO9vgBRVdFOczxLTbVMgcFolysGSYXDpxMAFInQPM13ZJtdvNSKJZz7u3A0&amp;type_route=efficient" xr:uid="{46BCF226-3B3E-426E-B3C6-25166A318B91}"/>
    <hyperlink ref="G69" r:id="rId68" display="https://qualp.com.br?data=Gl_JloaGUdi1FEVI_TVsHkP0GGpuk_dqSQE4IZWOoXnYbKkknvvXv3BZTS0SbNOkLejakL3f8BU7-rRajhvenjL0PIGMGCQSrRj-Rlv_ZR-eepBd9aHl1YCl6lYqUATM-SIo8eT8FdEvqUfZjQhJ5t9ca1m3QHYyVsWj1nqiw3tKL8jsSqx43XClE3yedlr6UMMEnAOMc2MERoUrGargRF1cfvWIuEGV3DM0k7rma-5VvZrNALf88jV8jg4mMWsNDMqpOeyCVqFXOUpvJyDTE1ra8GnogFEMvvYgB4imnF5FQv0x9N4ZLIqbh_u8cujSu6TPDdfSx4V49KeRFl8tgU7by5n0eV5yd9w5DeisJ38DwnR2jIVk2q8jGEWX75tp6yi2yt7v95I2N08UQSMr7NAlfXgTvlONgg7djk9Z_qhOGRHd3OjX3d6koGtgfEsM2dYqtGRQ1iJuOICM4LM-Lr6-SlAhQm5PaP8Wttq4YUt3PvbesDTl1VvhOWiK4jZmd6QOy9O3AspLoUt6JoMf2C4Tez5GfCQEZzhzzeWzfWMoQnBf9NdE&amp;type_route=efficient" xr:uid="{6DD56E11-1A5D-499E-AAB3-B466083E989E}"/>
    <hyperlink ref="G70" r:id="rId69" display="https://qualp.com.br?data=YflrAnDx8q945m_3_aeWhZylYCrrCyjPV6ygjnoysgEcyfZoGGOzqyuKzRPfeORSEPfOLTcxYUwGnHdkAvi3FMSiCFXVr3yDGpNFYzgJJN1p0G6OFduUEGcP8jL3Q-HR5tGff_whxMm7knKXeIc7dQWOPkQwjTt9leohMmb43MPiZVVGu27-xryZTlHRCsCmdOsQ4pJJif7LFdt1lG1oVoc4GQHQcY11Aw639NWrW3YNZw7oXoXoGuwJJkS_PmHKh4nIUwOiZpkoNYsZygiVUjXf-pjJkG-Hd2ipWLeiFRmGVySOErJ22rrBjcJtIpEojCXxsCV6HV-tishQGTnuxhZeWUKHZ6JiYXmdeR8V6-kck0YZDi3Qr9-KUmuEZizajTqtiA78AZDhga1mk7fkuyV6y8hw8ojXfAe8nSYBvLneejt3lfBcyyZT2nbZULp_Qet6MT2VNzf1Muyb3iGXbFVdIeTVMXB0YMHc5Jqde5Y-68NnZ8oQH6qvhsy78tyBRrjuWkvQHEFo3RpLdL0v_jzHyQ3MelljpTnwNwGoZhTrDN9soRx9bNdMNA&amp;type_route=efficient" xr:uid="{47D3DF2D-488D-40E6-BD31-4E330AA56C96}"/>
    <hyperlink ref="G71" r:id="rId70" display="https://qualp.com.br?data=G6znvSEQAtonX3th8r-q7tzj9pVsAvQA82EQPKzh7hsFUNHs7DXbg4wZtqyXTjgq8EMKbbUEKbkRlnu4jzCWHjRDf0sx2XpWsiPtJR7cA59vJbLJ-8lpDKc6wThDShXe7gN3FHHbP8iPBuGjrh9xC0c4IF5NwTyjJnWvJRV6I3BhbJ_lyoiYgAlVXaI856nHRo3VELv-fw4lxiMglnCsybq936JqREi1ON0NfH97QR8HllI9z0jKSU_Y3rcS62p6prGfB_g3YbIXL24n2QILtTFvwDf95FJUs3o1XlmdeE6yNtK8TjxwnK8MRKBwg8SSmRMbakaqH3dsN-UCQQrwMfQ1sspBkNnLmFhbMjydqx7OYX5HgRmmIppwcxkBqcbnSSOmSwyT1IEwRGVGKTFuIXgpD4RU1FAnmnZoUvxgTNY2YLYbHC_PPBEVVYuGfvLNV51PMSUxWcRqVyRViGLEiG9pFztv5dr_Gs4_K_TG76Sy-2193rs9C27CZXiV-nt6cGH6_JL5E14EWvPAaXTAogi2zhHBXu3mHlvxdQK4ii2OOAwoPqIi&amp;type_route=efficient" xr:uid="{2D69B782-7FAC-48A0-8785-D64F31F1F560}"/>
    <hyperlink ref="G72" r:id="rId71" display="https://qualp.com.br?data=DeQ3gmEBwr_vokFk0vJkW2JqstDcZLhV05n_6RWl8I6n0nNc8fsLoBQ4o5e8UAcf2qZK0HEQ3jAva74KnaORrVqbApnLtrGlVTbysXPN9-ZraVECcHvKs-B7e5HFgMqkImvfVtfzNwngGcbn-KP34xMMyviLuLkXZJSoQCbFwOCC7WyFm9CUSjYXitzk2IuvxbZkMEbDP-fJrfdNiOjG43RioInbcSQyLeLZoQ7x4K559lv_0kQ3b6PMWMBqELq4rvdvE_g6k5wddcEmGIG-eEk-6FuY0ceDYs7eVyWbETP0GQrj6G2lwh5ay0m0A6rbvjkYVgz2QraRWXaZ7vTzt9Ws3uVeWwl09Wsy4YqCb7pZSzyYSzx_LeIe_-N-Wvk4cwZiKRtYjgzdkxzhXnFkBFx8GxdR3u7kvZWzZB9nfLgYs4IhpjObp7x-ln3foR8wsOAYyqRkTsUwUeoGvPXH1CM7EjJj030DtBGZRV7g04-aiqb2wFbSx9MEPMQiJTUE3sQg2-gsW2icrSSXNnGFoBeLAT3W7A4CPKwZdL1uoJEGXu6byw&amp;type_route=efficient" xr:uid="{F220FE77-7C65-4B6F-907C-F720137CF5D0}"/>
    <hyperlink ref="G73" r:id="rId72" display="https://qualp.com.br?data=DeiuzImatvREfI4GQda1EdS-2RrAXlvwwFXCQt9NCK_pB8lfkgFuSuzOMER59rVHfmHGR4f3OOfR9FDXX57l-_c-4xt9aGbQlPIzeKJXLzXRXdmuj15InKm10ofLziZQXVKMdkgjhRLtak10rVsgQ4ePdfiQ9TsRHFYRIfbi080Go2gvsRyzclQciFlW2IvtGVK2OwSoRwtZ92JT3mXUmSV5Y5TkrOSbv7CF-pfdJ4zNl5faW84nWlUP-QhOed6sKerB1qNBGilSsKUTfU084f9j46A9ffh7hIY1TfC6IZkQI1mYwSCLvwnxVEq1aVXUEKzm-tm5Dzgnf8L_IWWew6SJu12zZmYldEXnzAxqxMBwfSQ8SuQAdS02NbPXavmDh_TwwMaMmMj-KivwGKsQNfeI1acHY03HRIQNOu4IADttLzziUOXjzC2bUGOu9ysAnR7-LnQIdy3DcY-p9nNcSJEm-vJsAwD5q94vy_dtxZ5y_uAHW7gkY8CQ5fMR-tSb1diZgV1UNbfBR_Bu3oiJPgh8NUThxsxOToQo7XXvvjsIekds&amp;type_route=efficient" xr:uid="{A6F77F6E-9064-4A6C-8F1E-04383C07171C}"/>
    <hyperlink ref="G74" r:id="rId73" display="https://qualp.com.br?data=PkT132vV0rIjifEGjdgE4xXtU-Zlhi3DZxziAsGnbOJ782nJCc0-A1ZAqUr3Nk4CwutmrkUVZ9fsa-_Ennyqcboc5loHCOB3z-6Cd5MmcT0WMwQpXSQr29HCG1o_0sJITXB8TMX4M7uYANKdjKEhvcQ5SjYnxZBWa4Oo02-nawSUjmqvD1ZU1JHr20bKf6Ei0cutOLehhPxneoj11aGZJQBisGcjAXE9Szd17fhDxt25yuAFojiRuF1jG1iYyr9ojHVGj-V8ZlMRR9rI_vKpAqiqXeOw66ZxwgKT0eA8K3ifJ1gNTqzZoPafY19VIfOQwGgEzkdUYdQSZ7yx55Bf4DCNpA-b67IRMyoR_B4786e9-1Jy3tmcU6n1aF6N-QvaBeHaq81c5raRUwNm05LH1nTOvBStmgXdCKJR7C-uDgnowHsWXsNXC8sLQZZVo5ZU0u-9No9A3iZf-_M34d-6_DS3ubzhi-hEkEKsMQBp5SBagQMmugmAos4UfAWElU-BdHsBPXSKKXWjV3yPBK85Tjf-3tQBBWYSSMz6UeHqj8MN&amp;type_route=efficient" xr:uid="{6B758200-7E46-46CC-8042-F10DBA2BC93A}"/>
    <hyperlink ref="G75" r:id="rId74" display="https://qualp.com.br?data=xoJkwCPKYW-drBsrjTB9Z90wbWvkOqwlq7_4ZIaM1gMD6_lXXmm3lncY8bO2wqj3HDlrc8EDf3bw1adUXt4n2X2jKAFmp1wUuqdqvasWuvCCuuofHtjYR5rwL1w1uyqKkmQnio5HKuCxAMc-LhvK_Nfuor9yI45sdfb6hlpLtejR_ToddwxZEzxmqup-gs1cVpSwrY6Z-f8kKXl5taQerSx1b7HGnUtTeYvXn_Ap0vdQen4tOFIe9exStq2tomqTmoOgK1ZRCDQ1FsWVQ5tzHxI74_Q3CHW38oYjl5aWa4-BEnkQRFY6XOPPQ-ya9GLQtRAf4kxkXIC5XM5Ac7EMpyEYmL19CZKUBmgYH9h_bxJ9ZYBL-N3qdVAZoAL7e1vtCmohc90Jy3_PZiJRj-6m6ag0rBR5TIBvwEygOOVl9yJ9njmwhlgmydwtUelRgijFSU7_jlg08e-8HFBxsf-iTpRhuiSe2GFjVrutzm60VA6ctvSlb5o5S4XMd8fIJ_UZhbXHCmL_v5hf7F_WdnGxWH84VdbsZt1vRyeL6N4NSLJ46eC5Ag&amp;type_route=efficient" xr:uid="{05E5C0DB-D790-41B5-B94B-A0BB6CA34BB9}"/>
    <hyperlink ref="G76" r:id="rId75" display="https://qualp.com.br?data=ZYzUGatW6irLeH_guNHbzoum8pgRUA-YOEgg1ciIxNfl8WmZ4Cpo5qEzmP4CGl5kPkH59LPNqgYKeLLLAS6BNcj9IydiASYmGi6fik4W5D-y5qxBGXBWso2gi_DIMVLdoantI9rrDDf6ZNrl_Guo8GVsh8brsywUuoCSu-RI5tnVO6Y3J7lNrLVAcENGoLOQzwWcqrL3q7BOBnAKia59xk4re9q8mXIIV6Gmns_38qpEbBqk0pGxMEIRkVGcPl9VnecE9x73T2VqZUPcXWr8OqjuAL6zkZshOzJfWkf0u4vSuDn6RU_a5-cOJ1yTo7J4NRJfy2e-5QKGVAzA54oWzesULDJwF3KeKObTY3nrLp4VmuqXBuQchauHL3MHDHzBIX6EVe8CddHOw6sv0ScRHly3JSV7rMKumyCVuBwnYd6SSes8iv4OewFDm0xb18mWIpbwolHj3S9bvzOCCLlaQwYNyzqFKjfuJnYy5u0hJfuj0DVFeJa_jOFIhdPeFECdiu4TUvtgK-THff5K3aiqtSEBldOJAkW4horMDsEpdJ2oHw&amp;type_route=efficient" xr:uid="{0E329732-C9D6-4C88-BE2D-258DDB313E09}"/>
    <hyperlink ref="G77" r:id="rId76" display="https://qualp.com.br?data=Mcj3Jzq06XvrkFoldG2o5c_XJD_HcNeYe9mT8Fl8J5s9WOctet2hlOpgEzGQSPBGmgaKbcbtcFwrCyxfkJlfG1XtZdRKwy6ii-lP3Xzq9f5Pd9pwaZJh5BVmjXNueN_ZeK_h3txxr-MGGM-lbbY8AjXXvzhjqY519jJ61Gj_vB5ob8nCo_VSYlKvuUBpQXsjX1Bt50waVUiDutVmCiTljUMm-KJtolelieC-vIXcrVfq9W17mO1Zdv3jIuZ4kodF3-v-J2wyAoY9SPtqCOLN-_k9QAj7z6bjwvf6o88TblP9twz1wy7D4dyrGS6dEfpLaNpS14Hi0iPL2frD2kyoBd6y8ZaYxUY70bH1iP-VQmqKl1HgW6965sUFG6USAWsgDRutjCbrlHmW56PEajNfUca_ayCb3QvgfiXenUD3smfHH1rM1Q2rclGwLO0znYemdX_xlT65S1xvfL68VGJf65fMIMBoXHU6wO1tGKWthL0sxwnQ2sv_U_NBPg7LSpbDSG_-zJbLaJwjE2eb6TjRR5rEHDjX30OoxK9CF8App_05yHtUiw&amp;type_route=efficient" xr:uid="{D251D4B7-7BA5-477D-B6E3-88A26D3D25BB}"/>
    <hyperlink ref="G78" r:id="rId77" display="https://qualp.com.br?data=B_FgExwvX8IUpgB220Oa6aueivG9id93TQefpr5MzSa8Uz4OmTSOw00eP4c2Cg6ArQaAuy3ZwfL0m828P4LbSEGI2ruBoTzEt74wiYS51cdprKGYBrtJVy2gkiWYmCv1pNHHsVdbA8rPoySM7brG5EhB4kehEy-AAkInMQYtXPhkK1SurvDtH2WQ_sR0fUTcOU7AucYyqGVhHb0fqquWS2WPI9XEdmN9mth79dYkdlUmGDhcYP3R5MS8T31HaVghJMnx7ZoHEHmXP_MuvJC06yUEywX-U61xZ62GCnshfqOfB9qfl7m0YPOm5fQZ8Xi1_36IewjAEzcA0eGN4gx-Z6fwPC4Iz7RN4qiG8Cpz5YcHCJXRd2FVpzpMfVr28lJSAcA7GpFA2w0B8vOFhYU6V3UGIvw8JYu1xQNhD1ykcAIhPocItQfKClv8_cmNqXGRlTYu9JkoZWb-UfctaZtImZR1B61HKTxKFd_UXHZ-TZfPBwN4yKoiHIIHx9nDgVUkd03wFX0U20NjD9nMwK_HHjlUqw5GC4diwhlL2SBlo-rZXCo&amp;type_route=efficient" xr:uid="{9B30AB64-F08D-4809-8F71-76C7661A0FC2}"/>
    <hyperlink ref="G79" r:id="rId78" display="https://qualp.com.br?data=scLxNxPT3QkJrGNSXnnSDW8WG8OZmiAreSxf7RC4O0k49Eg96sqpZqjbb-qkobdM7GQRtv2Pi2q_jt9UsOxp4ctn-rQeC0dyn-mPkZiy3umeb1xV0sl2ZgynycCWw3UjnQgpRdguxQKQ_Rvs8Jr9w46A8DyM-0epcOrlZEn_QxN5IVUU99uvKwrk62OsnVMb9INk0Y-7UbykmJd9fKfen6dbo-QZP8ZTL_Hfu0-9VXltEPES1hjU-WoJoEShrsyeROH7iKv7iiFKDelm1hGKVyoJthiGIW9PqvHyg1R7-nOgQN3wF9R21VsFuJKumNXrv4C2xBShCLkrXZrWMx68gKyT32MdopN6bZ1GjDiy3DAi6wWd0DC4IsTUYNaYYVcjXUSpVEQpX8slOYorQ-pjg8QPzzbhI5T9y2KFrUrJE6OhjlftYuwSWbrb_5Iwl66j7OfV-5TCCL5r_pfeq304GBm0rhAWsefpO4TO-mPY2Wa_FpoDXIFOJUfKrgvOHUI03bw-CEPsoW7uvI3Xb-w8bvu-QuD6ibJyZ7_TkEfjGD7uzXji&amp;type_route=efficient" xr:uid="{46916950-C7A3-478C-BAD7-0DBDB667DC9A}"/>
    <hyperlink ref="G80" r:id="rId79" display="https://qualp.com.br?data=A-8QpKQB7vnlUve57ZFpc2dAUpRm8PnI98L2El7Jo4qacfpf1NDiXqfmwTebDeRgQ7C0dloiM4Hy8sjakyjcF92Ww7_N865aro9GdqWbEPYlXs5FeglaxJK2_vZgtD4-T_o2-s0CYpOfdfhiiQz3uD64ejjvNDKFdCHV9gHpDXJ_z81_9taAYpkgFzCjOC3Tz8kmGyq0ueKK0Rf5XLpGLbHiP1bnXo2i_PLizpBBSLDfpnNhRptHpdufxwZBu16EvAOU-w99u9kXGT7Dw3nFBEYaiIQZJiaj7SJhU6YoEhAtl89H4hm_C9qlgj0cxA4wZ8mII7xn6W4kzy4ijGCGLnUEFXloR0tvf3_nsXfTp3JOAWh2XKqGkxA2-rlYkHJ3dFWDKXVsCWyXc_XULDOWUA_VVjLEVTgiNLcA361q3cacvDb6leNesE7KvYBQmv9btksuM310HXVx6LSi2ZXTln8G6XgpVkbh5h-xzy-xoRLgtL0EFIA35_7_CAGRXVgSGx34HGPp4Qlp1-xqFqwJsPr27A5kRjpWNA12PChOOdz6fx0IMB4f8yg&amp;type_route=efficient" xr:uid="{53894556-4BD9-4188-93EF-2B66A9854A0B}"/>
    <hyperlink ref="G81" r:id="rId80" display="https://qualp.com.br?data=PV2s5dksfKx5sJWUHpAq104hExqtpQgf8UJZtnMP6OwJXS0MUFVjH2lSlwLuycsccgpVFeD_U2qSJB-xFvOPw3k2kA-UyUfRQCdBSeMfBlOJDRcRUcERiVGZKOBYcd0zAZvGPfK86GpGOZcOPn0Baf7GLi2L37Ecj3J7hbN9YykpuxaOLMtQadS7odPx7OcwI_G-Pebt6NvPl0N0tXOmZbr-rBTl4Zk0JsL3-ZfsPGb6chTtFu7Xnrm3iLLbZ_ld6OWdai7uH31KwlZ8TlNU6HUYhDRCSsgn8UzS7N-vI_xjF1TfOE3l0z02bSBLFI2y_neEleHJe12N5w7c_NzhiJHOSd0BPgtXJp_SNwpDrYL_WU60uWhVDN_dfWGh0bduCuJei50TNiYnCELzP7qCsYzmMr9cxDaKnaQXDX6PfKfsBGU_p-O1OOvTc-T7wRBh3II4o0mPEPBnsl5t7SXcA2DbeTXDzueHBQdAu1GI0fg5Iw-4-o5uT1cdaDv-eJXNAPS-ZTb_xzxL1i9KyPAHl4opreewsx0jWxxKCEUjgHj4&amp;type_route=efficient" xr:uid="{054E9280-5B9B-4BE2-BB40-6321D960A3E1}"/>
    <hyperlink ref="G82" r:id="rId81" display="https://qualp.com.br?data=GtLFaj4QojV0NH68N8bMG1aZgv-5mzISSJxSbW2RuudX6zA4NGiyiM7LaZeSYnchZLjmV4m9KOVgejCAtZDM0blRnUqN1JYkiuB2OUCpawBIH-Qy3JNJZqxNmJBN8-kasXbwWBHB0Hx7FvlzvakSiaqT_b4JTWKU3pE85CYRBoXen0d9-ziIY4jy6QoTrcIYe9Xi3SSTQtC_IzUsERlENILErV3zCflvTyvh3YwPIwNHCbnPEc3bz9frA04AVVMh6V7i5lNGvFTA3XFYdUxG2Muf6_hmuJp_-3EPTn-zA3_vCPxhpBt-d5fEVYIiCru1Eraj2qhCQo79vHtTyrsqJmdemrHj3-43k2dYdnCNstkRsCzwlU91xLNjk1uJbOmof7s6tLTUuKkU9I2Y8WSCoZdHtfEBfS2uUN0NlpWuYtVfyX9eaQgxTITChR2quOo3ruGfEOLZtoSjpPKeFZ7sWEOrj9NZtmqZplDCTCk5Wf4MXv_-LYSQUdnIT6FNxdiNIg28Br0Jyisww5We2WginI3R2mg5uP29d2IF234y69kOWeuZvg&amp;type_route=efficient" xr:uid="{001F877F-BDFF-4F9B-887E-98060D6E4BBD}"/>
    <hyperlink ref="G83" r:id="rId82" display="https://qualp.com.br?data=S91vWVgMogF186vxmHDljtWk5ecHu6NdJpblVo_oyKIcVvncD5iHtskU3RqzAzd5-psBaWIcuFtXbcEu004KwS0-N_tj_13EYHn8WER7I6hFcODSBYQsiw6VirHH7KVr8YvsJXANZ8A26JsH5SF8GZtDdd_HTQQoajhlH2dblZGs50Mx-O15vMmM60CwmeTL8xLar2U7ZCCctzUSw3NUuDUG4SIDbaaV0QyuwtEAZtFRExBxzmbCz6v001AgRE--_MGq8Ll7xu0k3GJpHQ3NaZE0Z8scgI7slNiNONMzVaz8r5YO2FWCM0IZR36kxxA5IJhPBHcoB1Iz8MlXtbmZz2t0P4-6h9UBgV3__xmOi-wMMBZQHOfVnzh1ymxYoK8it0f7whlQCcGpHX5hghSFU4prrCQmSBUQGB06Yc9gHKNxmkC24-Tk10RevQKzVlcB1ZPW31fhp7h231ELc1mQlxp-v0hQAIXfkjLEq8AJcNyULRo1pmOQbSQYVhyxDWmgDUPuS94-GqQYWqxIZ6dImuOMyOSsS8n3brcrFRaBfRVP0A&amp;type_route=efficient" xr:uid="{96D88D61-56BC-463C-844B-77739C1B4DD1}"/>
    <hyperlink ref="G84" r:id="rId83" display="https://qualp.com.br?data=Tv64vo746exOSkIx4RaJeFKqA-Gr9e-oHu-PfL49Lu8nIZHrSvI7Cu3Q0uhZoTZAufkkxDahOkiIb32-OfhV68H7Jv961qFKi_EzAx5u2Sm_qids7iuzBFauGGI8Gpvl8aUAMI6juRqjSYiLRIyVu9H2XmOkoNd0Cea7W3ZoUtbJJBJCSOtuU0D65hERXuMvOrYcNpVHriUkh1ULv51swcVvXKsfKNwTpPOPaGK77-jzcTX0N3Xi-_L3-ek1jE0pCVIqJnCYC55Zw_tAYKJYUe8YugE8rKRrJJHYA70t56D7Kp-biPseswf7DhsQmIll0NjXgFZjwQxtJh7XRAEiFRyon0OgrmDzGRJRZwVyqaw1REFJSrE6GhdJ-oddsn74kUi_y9bqITUz28teaIMZS3jm5HsKfpInrONN534J6oCX9aPV_IZLWB2sICovcu4hEF5Kpyhyv8z2z1gpF1lomqAZH9f-xpBrAIGcsu_urADih1FQOzN1dQvanL0YTEos3jUEIhmzDx7tZUtsmy_0TqZzONN3-tZYOuP1ImUiqE7MfCGEXc7Y&amp;type_route=efficient" xr:uid="{D71A16D1-1F16-4AC0-9B75-43130347F5ED}"/>
    <hyperlink ref="G85" r:id="rId84" display="https://qualp.com.br?data=MsoN71DK9q0Jlp0T2SkSGe-xKvricfJyDq-pnlq4WkvBHAw8MHHPz-gEWO-1x6D0bajvIYiMtkNpljLRaO_o2rrXHs41ukCLGM68O1H2uSOrFqE8QQBnlhTr2uXp6kInM51tXQVJ1Fq9MHxV_jhSZMgm8tfjgHxadVULbvAAmuM5FoKMwkMXiyc5NzBqPD4X2nH7uJwhXVcnVRNckYHA1D-B8c7VsAAWNZ1G_aZpgNLzVth5Fi0UvpT-tp_j8uXNb60O40I5hhWy8w1ua_CcWIY4yylV-gl7RdMyI5r7uFpqAF9Wxz3x6KCx_Lln6n2AgXWBybI7KjojObzdp6kfqzbjPENn0EnqYgF48RNgigvSlMpbldUf4hH0f3FHGyWrwKC4dxIm7h-ir2oleO6eRKIUGNmaq6El3FpnSm9ESvvu5KY5Xq6q0pJnSIDtaK8sdIB1SOdUdP8e0p1ZfyNuRagIk-cm1ekPwKB25kx6il8HjK4SCNjg24dpeaydvM97soo6ACQG8wWSefhGKUllq9J9LT4iMhm6W8FDWsjw4mgn8lnU&amp;type_route=efficient" xr:uid="{4ADEB520-6E3A-4582-9EDA-C1A88A64B2C0}"/>
    <hyperlink ref="G86" r:id="rId85" display="https://qualp.com.br?data=MftEcMmbkmjawlH6E4XQE5dfMj7IVg4ZfBOhhiK-XgFR-g57By04YHo1uWPdmxENQxawZr-gR_SHb1m1E0GAm-klOaIc8r0_U_6Fr7TQRkze_uxOeSgass7e-OYqQBrtjhb5tAvn2Lt_UM3IQHYGyTnsT7s0q_Ljrsu_lOr1K6fnhvvIMPwOtv5igdIeihbckWO4nUy3d4jonkWcOIGDACOb2xkSjYlhkjkZCyHbYZPWsWc54F9_FahrtcviyW8oUyFUlKHI0iQYnV5lIDiwoX03f7rnAwETHW7jl_931jSnWovzfio2NFRmqVe6gCVuISSgtyIJTXW5-8IryuVcFXPU2eKWcb3fDkl1FlCHTFTPH3ThrvRBE4HzfIhcqPdoEK3XqVXduE1gSxYgbQ2CSHlyxmH6xQQF9aWebcGh7SMqmRJCGtjnV0QkJ5TA3_BLNbDAtu9uAo_V0z0yz4mR8lIiWzQY-X-cZwJJkIc8druiJ0ae5skHpvvRkLijN7DU8gmp8Zt4JnWJfg2f_7YFKlTAgRCAdAiFNSv-mdvzZn9c4CRAlhRu&amp;type_route=efficient" xr:uid="{0BFB4C1F-9710-40DA-879A-9BBCF53A5952}"/>
    <hyperlink ref="G87" r:id="rId86" display="https://qualp.com.br?data=LuZ7RvQfPh6jnhKW2B7YSXraG4zg5yGSE8g6QDUf59hYGwOPXjFiJ8ukehV6nSu_IFeSgzNsbxZRv3z4NfhbR6EPfmUPxc8Nv_jEARrvh2vsqJpSpIsWj7NQ2ISPvhuTtfNzZUVWUD15MeqtC56JaUCbXEgCVWpo1rJGKpeDgNDSbyVl4SPOVDU1oEavfjurZX1s8mAIfmLyhREFXim_qEXbkbJVVJfNAixzG6bqWHpWLb-xr-LD2Ica758nkNUOKGiGkEWbOgeFS_xuDCxWHoaEVqRkS0cgvngHzg37qA8L8nm0LQm4mx9MB3RSgfI6Tx65q3siDl_j0b0yJMLG-5qvfvlbMcWa0PV6UIdwn-SaRih3c6wlRpzVh6_KGyS1BKFW9DBuVRLL2G3sn2HIQJY9EvruPzNHNBYfve_idEh5maGRID0U6c5dCx57f_T9wkcMW6w_jEGHocdM-559i2CDvl_ylh4tk-H-t_i9Lj38BxM4sClQe4oPLiRdfO_h_YN0pPTGx187xTIa8Yr24NOFhlNVUNiPoGh2Z4YvrIgSWwx0LUp7Pw&amp;type_route=efficient" xr:uid="{48D6A8C2-6AFD-4314-B36D-C31000E3E074}"/>
    <hyperlink ref="G88" r:id="rId87" display="https://qualp.com.br?data=HxznhnbZL71ls3jSqzNBSO_nc8qfbV0XxeAf6C4981Moc529yrfvCISp0kkugQ96UHxEZnsznhl4uYRSVKiq8JdOw9cQQDcyGPbGkYN1TuHeui4rZQPDop0xvmX3iK14FtN1Rdjwg0c5HjGi_WfpKqoCIXLME7tFWPlBEikYB9TDpzrt_WChlr3NwjkxUlUkysVtlzCL945lx9JfpoOcKmTSJ9AuywTDZL6M0fFa4Vd9v3fYye28r8ERpwhCNpH72Wzv-k_CBtZlvhLkuREX6wf7g696Vo_uS9m171NzBdAy1-8DRWJ7tfGm3lvUvYa_gm4Nm1BzNs1uvccT4exdfsPacM_P3X_k7Sw9pGrXU5sQAceNiBJaAoUxWFbYEx4PUIlxUwQu44jQAfY5gtYbjfnf2iwlH2JwXL6U4emdkLwf1bEkiY1po_u_tFChox76lhvisVdICQgyKRxfSiKxkBjLRUawdhCCcMNAxwsA72cElo2M6UL4ki4QenYXTtpxyBVLOXFm4HJ5ZSZ0gbOPqanktHbdVcugCXowM2VcXlsJX64&amp;type_route=efficient" xr:uid="{81654526-FBDC-437B-9AE9-52D4A189DEB3}"/>
    <hyperlink ref="G89" r:id="rId88" display="https://qualp.com.br?data=_8bOsbtQeKXNyHenWEf_bieWlYcPnQY7QBGSrdtBBofGC5RVWnFFFWSKFVoozVFMGmgwrUfHWm5X1BQMg-zpdbFbbiEWQETg5QgnggarIbvkRCGLCpFS-62opK4-jS-3Fe8Q_jvRmF8sjhXI7mV2KPDyU6eUSrAcoHL_QB1PQERdmwWXEkp6VjXYt41ZtN2Sa3dKbnRzqxr4hXQlM2AwWD9s0y4uG5opuA0QAtlKTCw0eXPIs4Ig2FSdEpqfGL53E3Mob30bpTfKB9JPq6CIe7z9lcRSrjeJMX4WxD0JH0HFaJQb_4x6A-PjirlEpxLea70XmVi0qTBSssYm7-2glF_xhiIlTh4NVDuLMwo0wbusqrs92ZEm3JYoK__QcA_hap5Cj-HHVgOQ0XOazaS8SZsCc8ZTE1KS2kzSXTCxKjShAwRKG7a84HLiK9rY4KPCA2i4246y3EkpQnvUUZcC9WjZEMsaI_6OYO1xnzXsgZIPzf-ntvh6-re_0wPgEYqMaEXMl2HW4h7wwewFQRQkZvQuh0jYN364j1ybUynYcATM9nxjFg&amp;type_route=efficient" xr:uid="{F4EFCD47-F891-4643-A47C-A47D1A66AD4A}"/>
    <hyperlink ref="G90" r:id="rId89" display="https://qualp.com.br?data=k8zNHZ0Y-7doWn-hls87rslvEmaySFYHwkNXnQjLLwb8p4zQwzOukerD1bI4qg1pWkH9CV-J8cEGxOefqTziYM1aWJXfshND3hgBx5dNF4ZGcQK-sZv0GT3u6_bWEL8oBs23pUbR0gsnH8Kt5TmNUvulanzxw5dHuQXsP63MTJuV4q8VlO0potRFzAVF4Gn9a2q7Uvev50SQQcbXvHKsVtz-vlIPDCwhk9Ls9WafVXRZUFpJo9WOTpRRAr7y1W9vPew_rlPxjUdgHG4aItZ_RqxYDML96Q0U-OnSAi8zGb2sJtpIkE7aeUZlLypSqdpjvBYx_ha2Ct9oMFD0heLN6VK2m-CniCAkIlspE-fst-WmiwXA5brsbrMWjmBCKHLwRWikBY0ApcuPCakIYlTgIUc4BzphRELSnFLnZLoJUdmaJzf-tq8wAKahJ83Kg46oVVQks8X7xBHYyfi2QPfA0857KxwMthxBdS4dA7gcg1tbJUIv1HVbt2GwbOGPJqb48eNq7daA3yPDAFW9lWrYxcu5xoGq6hMDShi8S_1lXKdwBIaN&amp;type_route=efficient" xr:uid="{8C6111A1-8E3B-4AF2-9A1E-8BFE5C298453}"/>
    <hyperlink ref="G91" r:id="rId90" display="https://qualp.com.br?data=oRC6pkk8wtQtKfiYzNnc4uwlg33Q2zmU82vgsMrQDpmJoC_NippSD_YJLJkHAsUnT1M8OY7E-EbGmZJmXjNbDrQ6eFyaQBJBgVm15XxJh4LzOhExyrSlfE0Uc6wWH_yJpJKz_1s21IJmixT8OjFAVO820Nyf6ERuOtiQcTV8vxVs2PO9F4hI0eD2V1lEJF2MQlg6rNmWsdrlozhvO-CFYx_aEJfj8AxCQA0I-ZVqk0cRhOfgqpUB7FlPgFAYpeBwcoBuaJvo3scmbEabGbUH7Ugg_vxbcNNPwLPrlQswwIZA_97ywGt1tt2oY9vUxC9GbCNvbM9GSno_toaADM5lDrCWGONNO33dnaaiYLNLvY4qDWUPXVoM7z3nweYjFuvomhfJIFBo0ukdxoscRe3GzNCGql4cAIOBrVfZ4BgsUKdzFa6wnsMHaUSnu4Efvk063XpUSHtOwVMazwly1912xHukYRwdG7CxpgITQEc4oju0kbkHmMFFGeVmvBPDRu5bPISfDOMqqJFQLvs0y7SN7XrmFqOTVRPycA7Zj8TEz7AQ&amp;type_route=efficient" xr:uid="{D29F2DD1-C159-431C-AB7D-79147082A0B7}"/>
    <hyperlink ref="G92" r:id="rId91" display="https://qualp.com.br?data=7f_oOPdg6Vj30gNVj_luCQjMyXU5cMR8kInG7Kys0BDfPJKtQ42nN4uA1kfmmaNjtUxorCSOma6lUzs1uVqkuCKUtwBE7ynCtMySJaBphLw0i38plV9f2Ztm_5k6e58MLg3sBGw-SjGcVtQoFpXbACMqgCmeyrz6NSUd6TUmttqxmxDQbgT2pZ4jxf1-syAFGRIuwkfCWXjHQv8hvkW0QiqCAE6iYLNVXk3pFULYGOEMVjje2yKfevVmRqwyIVqZBPEhYftNN2hYykXc4E-uaIvF-z_Gmlz4rxPAFk--U9OdIZsKDTrryPM4U_Em6jmPZETCfUnF_5vB-JJgooRkHd99smME2gpXlNGuz3sOS_PT_6ACK1VmzEn1LSWEJolZITQ8zWT8SzYTdBf7BfKZYxAoj53fB1fGmgQwYZqMmnd5cTH0cM7ZUxSDoHil7slqNQXndhZIK6NqZM54oPjQYSUA7VeQ9D6Q9DwJUYQ9OG7hLs7OkoZ4nYF8LDpTmnyi010sJKd0Ewnv4TeH896M8xvq1jPVfJy-K8kdvGUn63zyywPGuA8H&amp;type_route=efficient" xr:uid="{DAA8996A-3899-4794-9EFE-5A49C85360DE}"/>
    <hyperlink ref="G93" r:id="rId92" display="https://qualp.com.br?data=UllMhMTfGVZPwFUoLInjqjlcABUkf8FvYu_-OqcRMqj6FycZwjZPAztm_HflW94wVZHhtf0pFFi6zYyb-qaGKDITrS5MMRXj5Z6bXTLDUwFP6-yH_catqjTSrff59RFaTudweqxWb3LYAN1kDjUo3798iDRNHqXxEZCjxY0M_BVKhNdXgYtbhyIqQetXNqQdtUF13HXAF34cnMHao0dXbW2PfZzCHMHKDaJTwtbNal9Bdx_JtI4Tt-ddc2XGlrDpMe9SMSza75gYAcSizrkpmAWkkRto2pPRfpcrcASm47RXz3S-dOzj4KrZJBemG0LAY1wSr5Ea_LR2tYaC1iTmlKTWuzA46mMgljDUCNseCvBj4lmG0X7as6NY0x1SQYIR89Ijw7aAg5W2BDtpj-KsAsh6UhmLq6_xP-ZmZQaoFUEnTc6gWM9398lNMbJPTNXgg_o5FISRLV-2qy2ObjZdZrKEc_9uB26Q-SdviPVnU7f0f_Hr6T8krDa_aIkRvXoe5JmzRjb-qz3qE6i1J20ZgFrbdH_kLzgbL78Kq90NkvFdDg&amp;type_route=efficient" xr:uid="{8E795F85-9ECF-4626-9848-DF38EC715E2C}"/>
    <hyperlink ref="G94" r:id="rId93" display="https://qualp.com.br?data=b1iGXxOLQ_qSGTqQL9K5FsgoB7PQ39j3iBKwvnSaKBJI9daHdlrIzgNdYDDFMe55A6WvCQwudqd_PNXuc9WqzeL8w0lDkL3QI7J4Jh2dXXyq2fsq-EVzeWiK_wNoM-_4M9PLTs5vRl0fRQPkNQLXG0hmtUckjjz_LL7HTD3e5SZ3_uXNdrUYzukp5qGG7uBVdYfUS0qFc1zNBXrJ6_qnBmciHIM5xS7i27ZXWfyapWOQIgT1Cdk7coZeSlNkN7IDA7wVzmUpMHd2ZJHDzB9ZPSph_JnWl_5D7V9-PAmi9NyV4gVZjSTlVpz2LFRuXxPUFPIaISyhBCWIyc2riCwOUTEIr410z3Jbvpzz1mhDMTnS2E0M5bj25YH6Pb2JyGvxjM_I37vje7oQJITJKk7a0tsB23aBx7f5QJWkc6qVjfJiidR7aToXyOjNggz3n-aRVl7EB8D_eimkCzgUs5ICTnXb6PEcoJx2QVPidjwSsFtokxMaa2No8HzBAEUnwaImviKaIdDXYaTd_9xTOTDfex53zgTT5znJH1OyipcwlzGTUQ&amp;type_route=efficient" xr:uid="{5F707B9F-C945-4B0E-B851-E2C258038EC9}"/>
    <hyperlink ref="G95" r:id="rId94" display="https://qualp.com.br?data=xPdERsLYs64pwtGrxpkB7fafuvNxHwzktV5xt4p3F1H5xJ1RRENpWbNNGCRHelJiHfZmgcyGpnOfrG5BpWgbgbys3QDr5i-mqLf3oyE3UGuoYW8R-0dOEbdVpd5HjuHvrNIPjpB8e_SxOC-_Bn9jja2yuv0gP0TTWdOAS71nnKsEHYDx204237zJeZRrDr7IeGtJilXDYbwz9INH5iFddgWTEwHc7iitEJyPlng9siZkotH_NDJIL59oLQuXCdpQd9NVU1G6JHjAJTS_hpdTZJbuYPtd8bTm_-8RvLMM4GWvuVaTYSfnAn7I_zNHoQi5mtrLrxTpKo96NfpDe3GCwN-IyBz0JtqE50WNsSXn6swuW2Jo_OosFxwp6WIf9GkZMF64X6yjppYX3FLwceB8iyYG1FEtAh5RYfLgJEs4VQGhXuNHJ8adJ0Gfqq3byYmBpGoGwnnFiefCs4nYZmnALdLgYQWt8o7Y2GyAnlL-_B2rejO__CPpivUoJJCX0cKpSusnpTgYHCz_I-Y20Nd1UXRThqyC6WFcUBBgrjUrY5aBFpNb1kW-&amp;type_route=efficient" xr:uid="{3600AE07-8C42-4328-BFA1-FCEA55C92B89}"/>
    <hyperlink ref="G96" r:id="rId95" display="https://qualp.com.br?data=beGGeHv3nZ77xRf0WLPTf2CdAFq_hqQsZHmZRIup64zXjzaZcdu7qYd9EeBWZSDCvYHXgntNTYVQJpqQHHD30mgqXoaisIq5DWatvL2OZN9InX59VFJIAlJoiRXEVPH4casey5VdUlZIzJ7XemhoF2Thx5F_UwMnhm-poWFLL73F5BPo7aL-38VRLXrCAJyUUITuM-aa9wSBVW45snWBsfcnWXp-XMr6yZKl2_6t_FjFFLPc-OHAGRL5_vyooa_CN9apdjfP9YC1kDCgHNyIN0yvBw8g97hUIWJkLzH2pjXT0e-GIkYm2MGqFikEHbeuG5grIjmFUwD1vHyx2fFmhmrQAoQqF8394nh0a0cctfafQUGs88OEMOT944EBt4TbUKHhQXP6ERc7JUuGEs4WzQdEfoX4KUzgNrqeW-uCozuVxygudLGGJXGjHS_ljF4MU9OkkdxB-VV2ifkafWtyZjc2gkaa95f0xIkhESyod3bBAP_wSy-LZHcJmviblYkrlD-q1kRFsTzbqtgGkqv6qD9BNVXorH0PoyDcIO6YvRQyuQ&amp;type_route=efficient" xr:uid="{98C572F2-2013-465F-BB39-D20C68772A74}"/>
    <hyperlink ref="G97" r:id="rId96" display="https://qualp.com.br?data=pl9g7fXrGzHj4afUai92kJJGBx04s6kBumAhIExJ3zEDBsG_HsbrY7ai10R9TXIARY-WOQbEa7Rb-iVKPMGARIOE3BDwivYbDy5ohlG70d7cxiwax6xFx-RlotyHsnseW1CYXwoZtWT7vl_ccMbYXNAV5b9B1c2tDp0p8_JVfX8XQXUw6QcsXXrnDHbX2NnTIfegiXSOQoPwZAcQ6aXWGwzpQ3kvIEjtfcWoa04Be1EdzaX4QAlzMtf_b7EPoCOyJxcEPmYAQcDs1iBiizNfgxpruMH6-FnlAvXSsDycfsjy9S1Isvh-8nEYyfmyw7diaWXAMnBSdFR33pW73GI2KpQuMoFCCrKOWrKVDs6Q4BSMpwfLAlmDdn5ygaqzYfZH40vIgqj2JVJmBFIuNihpRmflfA4z_0QyXIeN1PkzCb44yPFwdberfgtN8qvxlNVrs8wgP9tp6mAhAgvPyISreC5UQlUB_jI9kWLl_Q_YAHIB91ueuka2mJ7RVC_Eiz1Mhc64UH8wfaJB7Qch7Lydc2aJLwZELINL4WVls9OkyV3oyz7w2B_6zczcT43_&amp;type_route=efficient" xr:uid="{D20B8E5F-5AF1-40FF-BE0D-C6E2106ED992}"/>
    <hyperlink ref="G98" r:id="rId97" display="https://qualp.com.br?data=7Ev11WlK99Q7Oi35uYbBdB7G2chg2hNUVLM9xdNjdD36TfwFeuwjowOXlaw1MbJAL0311AtQ7ppW4Ncgmn4WEPhuZ0nuyIczA9-wtme7K1EO2ArI99I93TUCLaLp36tBdoRCplSrxQgnvVI0TpdZkePQEPbM3srb8PSRaQalUhVdci0pNpVbunKJuK4uVjkpN6MnG6f8uxfAjR4c6_3XjwnFZ7xcxCIl0VioqUx_28wJKstjQE5GDBfnlsKsYrl2t7L6PqEnWcy78bV13LC4MoBd0qrBn0mX7C60O2mdy_8Qa4MXLdX5XjAKjdZ_4PNUEPyYjtkNSCf67p0z4j4tLy-w26zZuHlV-Qgi5XfRtr5od3C_xSBXa3XFZlown6rE0nXqhu4AmpEdYyYztPTD6BRGUuOQvEpqfQ7W-qmoUf_1MEX9lQZExYlptNOKemZ3w_MgMsg6M6fB1okR2oQbmiMr010JxVREM5yy-3q-hYvOAfTF3hwBeIaS832sixqcliw8fK8I5bDESYTd-LcfxJSboPLjT3EEXTfIB4meg0OV1Al5yWY&amp;type_route=efficient" xr:uid="{D02429AF-FCE8-4751-9DB6-3AADCC00EC86}"/>
    <hyperlink ref="G99" r:id="rId98" display="https://qualp.com.br?data=KZ-ThMLkXjycj77lJiyyk0vEyETstYs56OqgqMNHW8Rp0Vc_EzNvLNBtlvew0mCUDb2IHr2IJbaiYRke-3Ij0BjU1YS4BrurkE5CGeguayHkUHvnnMke4hMzqdp091i0nViyzIefYbC8nZs_nR_Zf41s0QHHBqpUQZLKe_vbmSJLD7vwBVKU1mi9fbnCVIlvQq6axxvz7k-Owohp9WDWS__dd8jAfPJF_tVB3NPbNdTdin_MdfqmCU1jdoYtm3RVfYSS74cXwLtLwE51EQUXkc6OHxPl55QTaw6ZWRdu3slp9iXhhdKYzRb808K_8RoFfnyCVmCHKymsCZDDdCP1xlUwZ-jcK2VAlHUYh9BdA6c2Cgqww5Er2Bl72PSErOT665rZPj0HGNmKNLlYQ8ssy5hjTI2Qdgp4PLJZlRnbDuhpma0z6SwqqxXqwIZVm0F95crPFVigwv0wyHhQ-ed4qlJNGdyaFhH-4L0BrkH8uM3htiwkvSNGLEayU1TCpJJ8gduXsLnlFAL2idIi5EngjNTcJm1TahHa31971gk38trCx3vs9xqa&amp;type_route=efficient" xr:uid="{3F0A3499-4F45-46D9-934F-0EEC16083B09}"/>
    <hyperlink ref="G100" r:id="rId99" display="https://qualp.com.br?data=yymUE4GVaFCVBXo2apc8lU9tTLadaJSsvwEOAI2ItbHFyBGpTxHG1zw7CatjpdrRsHXgImQxT5hV_pA8-aAfb7jlO_Qky_LDR2jUT-wRNcGSTMkSNc_ftJRGiRMO9Z-312i0qoerTBnu0aFAyOwiW57LkuEmebQbvt634CuGqSI7RHT5MBeMkxocvPgi6kX_kUeeGAjWJ6YdqdDD-4l_tqBuucCbD-ejen72s-yN9xo_JyMyAH4q9Gi6Z_nySRu8-63BstGurW_iDR8KP8bno4QAhRww3Y1Ya5kaqfIZC4brnpLDQGcQGThTSeVQ4fZrFWzvenCojsAgGfEnqXgjtObZoniCrwccsBe5ThpC5IhO_3FSnj8XtNqGFTrTj2LFZ610wvmoz5DHfF-sWDisxnLMmxmjbSDWiJjdaWt8F7HsK1m-G6pVpSOyNLe89U-gORYa1pOi_DmH2aSTIVkq5jeozQx73ZgJFUiyNLatmfDHLft_Fa5K8tJ7HyKeyHQkeYsN6MMcLM-tpKsue_gXXygOmfqHg9h2TQAb8NEWdcXVQjfh6Q&amp;type_route=efficient" xr:uid="{E1AFF368-5059-427A-9B29-23E70D7EC4D9}"/>
    <hyperlink ref="G101" r:id="rId100" display="https://qualp.com.br?data=M6BiyHzK_xBRKdmofUTarL7KJlqY30JIRFJJJ_8RngSLFQVzZKtPBWs4qAV0Eqk1cA6vRvzNvJgsOI4yJoqwvDiEymt1rfXGjygc9uPhqKwzLk9spIUrXWD56vMRhqbN6Y5HnkauenckdG0YmlMKRpMNL1-gOgfwtxHFcVDvEfqZidwEY3noXo3XMGu6uCNyUWcushOe8LL2CvxM7R3rX94wrpX0cXTbs4gp0i6DaetuVW9n60kRTU69WnD_p9qKkH0-68miTCvt_VRSOpivRAXEvc1qex8DwS7MGoiYchFzo3WyuPco2BXCLVGXNDVhjsjwjTcS3-w3Q8faUg_oKuIHIcqrEyQfh5aujA2oc8n0M22mFFLbrI-CjK2eyoi3qyq_WF47pQhRrFR6_72xZM6strMzTsdgjfXD5KIKjBMpILoHwqbc2nBlXW9jDoOSlIs9sBiisivUHgZo_Ds6tif4aGzFm_OmCH1uBKIItV2sAueJar_V7WoB_p2mmPUoXEeiLuD1MoOFHe6g8tJ--FWfu55_ex0OtKPK6FZO9Ms&amp;type_route=efficient" xr:uid="{387296E4-43FC-4386-8DC8-6389523A6864}"/>
    <hyperlink ref="G102" r:id="rId101" display="https://qualp.com.br?data=EguMNY1fb0O5wZN2562jCbPy4HhGIw0ltF5rNxODfDG8J2OjpSmelLrx2JNFX7tLVbUyv7Cd1f8uctPtJexLwlJj3DHotWDnqr01fEoPcluhEgvXXINMmBEeAfgNm5cgxzKIIWa3_Cz8Ix4QoyPKqHi-lKsVSJBxoNrmi-lNO6ITVgdPfwr9fjAvrnrbt-H-hFzFxm65jnZbh253-Q4_kfS4pEDr2xtAKEbslLTYPFdGvvq0zebtnB8ghyErj3gg-s0giRiaJ3qNtPLNuPbYa4mOlGVWFODRSvvB5XPe9SKes4U2tBlMcBScIEciAq_TN-WT5ZLnxBSxqrnlsO6aKltOxTk8pogOKpkuLCLoZ8INeFb1ymOHNB98uAQ_r5xnexYhXl4oXBN079kWaorrnsXnucoohMmJ2KPb58CpUFB6z1EH2nw2qL__4sV3EFI9Eq2ZiRMttUBPp8dlosdTDQYdxl2gVFZmwYfCWLxUDpg2v3jG-_u1MdZnB7cH3Q3Jlv2UTqe5DsLvDVTGLM0aiUt6FP7e38YaXk6Ec9W4ityZuw&amp;type_route=efficient" xr:uid="{1D21713F-D0F4-4374-B37C-8648670B7AFF}"/>
    <hyperlink ref="G103" r:id="rId102" display="https://qualp.com.br?data=c5fQ_MEDB_DDIWHNa32ATdgs1S2IixeGX8_EUUJlaPuFxgujV_bf3_85Rdxnt1v2q1NPf3pV-3aAiCO9-cIsjwnXkPIO0OZ347xz9I9SGFNb3WGoM1ZEVR-hK55gTR-4bDCCzREBUWcnWD73Qzh_iB_KZHxs-__sfvgB8pBNwd2KG4OVZ0GIRcIKCZxJ9IJjKTa6GM04gO42DCgQowh5ilgxbSdJ3OriURLu_W3C2cTGEAtNoc-LXQmVH4xr2dw_jbN6nh_ZUfXG9bLBhEIl7yPpAcvyFunyxFGs7Zrgk7vW0Rkcyprc6McIZIiHLz5sgZETne-zwmoarvwfZOTJq0XYhiWjla3y7vccbEU5z31SxjgPQGiT0J0Q8R3zVpAGQdNED7Mi1uuLWknN02_4efh-vchBFO6oM_9DduL4jj1F7o1u9dsQMPOpFUvIH5Z2RABkIlIZ9R67CIsi9jkVHFBDYITwNjto1gm19lxaCr8YCl7LdF5Icbc_TXsvlN2MHgPP6ljGMKwe5vUxgsE0mHrlkJ7FvImF5fewzTWJhdO6DrV5vpCf9U--5QTjiHA&amp;type_route=efficient" xr:uid="{D3E8A067-B2E8-4F1C-8826-8BE3CB9A6E78}"/>
    <hyperlink ref="G104" r:id="rId103" display="https://qualp.com.br?data=OlF8czQbZGB-M0nBz4wXbt9aDug7WVEJNiYb79Bp7P1Ypvr5_cBsei9ZciB4GzLDFwejbqz9pdgfuS1yFptfMxt1RCmzjy9F3pJsfI7K9NFg7GbHRy9AuiefK0iiEeyWZG0JP21meW4FkbNDyFriGWCN93OHGLUsO3ld86lPCCfJoeWigqmj4QZyijMv-4LggM3z-lPkeSK_GkRIV-UfIHE_XqsguMc76O4wvX6kCa8Dok15xr1ySj1q4FzwxuMvKvBKsqQs7RMeX8qWNuSjC9tg0b8AsspGM_xf3vw_2gvoteG56EjxxNkjB5x7a3ScAOXYEbghvbdMKIvUs_3R_t94nQyWrPnxhY5lBLnTujphe85Z2utoczcfiAWJfI4nfAc9zG8QKOHUsXMC8bcspOC-Tkz18Acir9AIQEeg7sADSjYOl8ameACJy-J8nlNlUcfwV4n8enkUjmis2265TY0xR_XC-AcSTEerERbVqxZ09dID4Zgm6k6DkF4Htjfr2n5kZpIODmrtCqfaHMKPVgtuKfmN9kQrkAQsY0XVhwr0&amp;type_route=efficient" xr:uid="{D09A2BB7-8F2A-4075-9462-D3597C49CC4D}"/>
    <hyperlink ref="G105" r:id="rId104" display="https://qualp.com.br?data=35_tYcYDTiIlID4TxUKLfZ-Q6zUqDhyG_xfLFmGBzq10dPvAueVXjc5EGSL0qDQD8YjjcpCUXK-o-pIOQ-FEQjlFLhFFZhw1XKnjBL7qtCd34tnewhjL2xKj0m1Tu5Hc0vRver_mXHJlqyJwf8UQ80nM0gsREW8E3ok0DiZJe5M3TiqMONBWS6-WOx8C9VrfsQU8adahiolxRa75qmFKt6ZDT8U3U_Ok9FwA02iJRrkHSBTIrGlMElzAZID3AAFfP53hTAzXY0BHsBDW1v0gcoI6gjz_dhT7rDv5qKMqP8or4rCr86nFMx0xQPKclSUpttCu94lNq00NGaPwpx_DeWjTOGVP6GQKnsHNa4kvMaVLycVnP7D3qQa85cbk8zcccLuC_haxzkSNsy9c0Ystc_HNigEuyAghMjvMm99NGZ7uSNMEXeHlyWh-GKxYPqmRPY7Tx00nwQU_OwS0-sKnxp43gRWtvyYIByc8DxlRiNTD7luscZyMY3w6UlPapZxkrXp-OGJldNEtM0pl91NYOFrnOzBqjpw74dMh6EoJsLjCt6FSsYtOoQ8&amp;type_route=efficient" xr:uid="{B77A0DBF-D680-462D-8D97-CC2AE311F2AF}"/>
    <hyperlink ref="G106" r:id="rId105" display="https://qualp.com.br?data=4mhn1mFK0QTI-CA-dxWuN4yYvYadiaJ6oTgAoZqR2_MkM4AJ3ySdSK52KmFcfJ_7NAS__85BdouqJNLJ_j_Ue-M7XT1iWlXuzKTlmApTA8LrbDPgK9pPTnvNwwlAzCvS0ymbo9vcbU-4PwsXa6ZPNDhI1117-a5icJSOy5IViTnymF8GljrXtLyZ2jLCZhh62W7ZnzN7Qp160yPOb38WGblp3tPI-gkdTxW-B1v-4RGX0s_Jz09bQRXlb5Uvx7i_OMHkOqO2T_TyR9kBGapzQgebwriknaF7hqUyroldhhZ7S2hBhdP0Se-FOKlpF1SnCXuk3Lqnwf6HvICUQ1OertOna2nxiVvsM-Amxx_XX8ghVEQ1VVfAgGGqTKpuGt7zbyVAHiHW-l-n9JKYf4H8ph2zcD-nzp_wICzR4-9RIG3zl8bqxjZliBr9ttV9Y_ZDpi3JLk8Wlg3kD9eahT_UPZCk_q3m3YHUl9cpPMTv2OXK8-HqDeUtAkF1BeU8ixyAXC9UOv3bUXji47OP0LPJMdj2pdWOrHUGQWxhsCXOUptRwaoyiOtZMbHBvFjXi6Pu-Nw&amp;type_route=efficient" xr:uid="{314192FA-C7F3-44B1-921E-EF399DE4E2CF}"/>
    <hyperlink ref="G107" r:id="rId106" display="https://qualp.com.br?data=eKPkKhGie7h2VNToaXVmqpg-e0dllEp4t3FUDvxAvcUZhll0kmnhDE0MqxJ-jRcJIiGOAlL1O4mmGrT2llhs2gzRMEHq_0zKUYxUYPguK8uE69moHqL8XoGQ4wnsQgcWEOPPsSQbvJN4hLH2dYoGqyX6ZspN1XCxQY8xpWaycUjtnfx8bZ4DoOhg9PbRvVTges1Gkd6GCQ1ijJGUVwvA5aWon1YqjoIW6MfosaUvv2XtXDPimPLDe40sPW7T8YYHj71PkmipQNxCKuhgN4SWYT7nMUwBPiHR6Mz1X2ZlRuKbpCxt1ExOCzl2hQp3syDlOIvEZCj2TtPF3kN4WMNxITccMf4lBGxl8RuYea4HNjU6mdxzb32bCPyfqxJ6iTaEJibJG-3TKVSxRetXeWsLip8p8FnbhrGHbIbvk-9bohlM1yc-UU2tPqRClm_Of2UTAFLo9kxhp3pX3ExWHiqZt_NfjT3RBpt9eAs6hphYlurr_UD0bqx-euk0-w7B5BSjBUUAj3EwfaKko-1IdOpv1uhkPf7_YUeSTORXHiFK1tQ&amp;type_route=efficient" xr:uid="{03C13E7A-E5EB-46B8-AA53-9C8684E10144}"/>
    <hyperlink ref="G108" r:id="rId107" display="https://qualp.com.br?data=Y6BUPwmfbUY8rnkB_QIJCLL-p38v-HfhXjD2Hh2dqYhc7_pqG4gsPFQzABQRAcKzN6k5MXfZYFw8rRzW7WQDjeoK_DHNKFMUrVc48R7twfhsQYkJp6PEAD6fraP-ophWWIS1lMmd6nIWTsivdvB9w0D8zG8CvDzUE_Ndh7znNgF4loHL_IQvMR5yy3EmJLxQiN58Ep3toUv-7vtoi_c5sTRYJS1EDLzxPripNh9Z4mV9P0hteNxxuL4dtJJvfF0Y6NNJrC5jnYUoro-EuNXHEk0fTS4BzheVusjvhwI0uBxCyArO-8NFUaKJvEcSf_qhVz8fY11JO1rZzRb1BalJfcSArkM-rxxZq8KHMZB56mvVPrx3S14qctNlGdh6yoVJLtsGZTPYIzyXiAw4C2rP4QZKOr-AuNzLxxEy9qSzqt4MVa6uqyXlcvLXYgZKrdSEfHMV53RAw-EgyafZaM7ZIH-TYUkv9gmeJv3WAP39jBeqjK8_dGbicoEFQQXZU3C1NzCqF6Kxm4JsrbLA2qj9fMShmMGRqdJwjIkzjWP7-S7WgQkJFnBKrGB22K04I18&amp;type_route=efficient" xr:uid="{DE6A92E2-658A-4800-A783-F6E365A3431F}"/>
    <hyperlink ref="G109" r:id="rId108" display="https://qualp.com.br?data=Dog0dcQo6XcjMcH7p_qkcLcQrxzNjgRemliKmiynjXSZ9w2_zbz2ZXZTW-Lc-Hgj22l3xwWl2G19gTFunmfzMRP0DymcsHVRzkmDE2U-KNyxFwLesasulHaJt2YZvhsTj_jpZIB9GyJr1Z8FhltlRRxkgjoUkKaabHhyO1Wk11h8N8rtLhA4ClPSz45B5HDfxk7e2vrGjxlxuOqHAdlh67kL-I_1CKcBO2qIWcuOuAn6tp5b7lHvNsP56O4WGeUiwXrlKkkyn2KOZgLzAxJYf9-f9g4rYlQz548xF1GgTFgJ3aSwd2FGEXBs0aOTOtIY8_vaI16VMMsYZo6d5FXjZNha813i5LlFYaA4_OxfJVwRIXawWkd0kyEAxhY_Rn0ymykvZWJHD7MkX8koBHI7zIoTfW29g6kNRcflOtMVA6k_RTSCTQHVuYPD7kfw2x35kqKTOT1kG5c8WnON1xMVwCYWkX-7IdQe4QGefk4-YUPme1AZT9VnwiaOxYd_TzUHUs2KYA00RKXcijci70gFPRL327knVGPO82uXY5FCwhV4f7RS&amp;type_route=efficient" xr:uid="{5FD9E42B-E40D-4DFF-B57F-512CA6D44948}"/>
    <hyperlink ref="G110" r:id="rId109" display="https://qualp.com.br?data=S3jeOVq9jckHhyiG0AJSPH8ZoHskvRBZJ1AIFNW1vDEKv4VlsObP3cKzIlzlYItLGYzKLjXYMXpRCOFf1RuXBN0WUGHgneUd6wWFBDAOmeRnMzKUQ-3zM2vlbh3s0olon_8rkda_jHdo_lPC79uNr3gDmWYDFgg5W3SjBcXs_JGKyIWPdgBxEK58P_zoSMPTdE5e7sL39omDpZNjahYZmVpkJvAZPi6bQad6TaBohwGN998WV8NWOPm1bqo_ifyy9-yS43igaRy3RVbwtZ9Bno_UEvCQTeOCYmhkaLJHgSYOobPjjL1jmvxsG2SavhSv7OQMHrXEHR30VHYTs8smDkI61gAKLd5nXB3UUaWaS86vQcYlGJ5vyw3pfS5BTowJy-5HOxMct2rQLAJq9YnRUYZp7sn3ORJQPcOt8duEf60wM_ugvPb1HqE37G4m1qnlbUbnToaCujKvr0-swZ2_UwAzJJAJl7tNakQq444OVEz9WBaKe5Xdo4mpitr1xIeWQcLdPBbduOrN0ee5FP70MpzaaHp5XJDFmjHN-uYd&amp;type_route=efficient" xr:uid="{97F4BFC8-453F-45B8-BB46-37E73091CA13}"/>
    <hyperlink ref="G111" r:id="rId110" display="https://qualp.com.br?data=dZiYswbqYAw4UkhTn26GYOv34pdDTJMpLe_bt5dknxwKlM1zYmlouJzHzahPQrm6ySqvqI0RVO0uzOjxq3BbZAYtJtBq2AxIVE9fjmaQYrH_z0GsNz0Ol7pNAmpM4Nyim8uMnNacaaoI3vhFKzqmj4jVZBQIA8oFPo5wrROzebGxvR1r98KwbuEDSAE3LEJ4pqVO5cymXLezGHdgQcvCnTfLMM7tK_GkwftYFFYMNF7R3nmKfQC2dc0SjHfRBHaJ1B8u6R2VjOhERAIK1lyV0NmjhEonLxzZGgN4FTbnFAevlu8tboXYhN-KprHsKhSYb3rzYPn-wJEjBgAHwFiD1utkr8_4ujsHnd1qMHpG3x0byfZks67CuNyf3gC2ohK_O69gWqBCboYMWkbiY_9CvoU4wbk9MYxuSq3jSCICsAB_takFEpuyxk2FNcYmTEbOKvqQvYFkmpZ91hcLo_LfNYBVQPzqWMc8VcFo4JdpqOEcDg0o0ht4fgVMtuBFvK30ZhXeV4slZ6G2SIYDGkj1kXdf5-esXqOaOhXfnAeZcjxSL3g&amp;type_route=efficient" xr:uid="{CFFA550A-5045-464B-9EA7-29ADA8B11745}"/>
    <hyperlink ref="G112" r:id="rId111" display="https://qualp.com.br?data=Pe9KSiWqVKeKIE8CG1EsP6YO7uwt8UexbczawMmtUNszGCDo06tt4aMZ-i3QxnyD9DLzYFIjrQqijBsodgxdfRAsWnhBjPUFrt-rm5SdsZVzjaatGBpgACTb0IfrPE9PGaKvoLg4sOYvZaVdIhMhWGDuZ7DLAIflKk6xJcym5-yKag9eUg_oRObKyYQXNFSrZFUm7PebghWqadQDW0ZDRM6LoOGBXA6fCHgYxfZxPSTXdOiYVjkwsTQVPkV4kgqVJ3pv6Qp4jGS7d92N_lfaT5J9cC_4C9Cnc6vYJviGm-nM4AO-QbHibjQtWFWrkdUv82lhapOn_i6JBu7a9KxRG-4XWgao9cVKdTk2-NgjITn_KgBkTKN_G-LW33x_26KFe7AHKl09bgmsf2qOIt9NjTlp6JWjxp9a2dLiLmS5UwI204z47Qa5Q9I5-hNbVZYtWuDeThBsQrlu4zMqebI5BYgiGQ4LNU3enGmDf7ZtrMDXC_qfVjgrk3NPZbcPxHjMTC2kca-KWWPRRIhC3KSXrNQ59z7d3WycuEH6-XIyjBnT&amp;type_route=efficient" xr:uid="{CECCD19C-CC6D-4440-86B7-886518B50AB3}"/>
    <hyperlink ref="G113" r:id="rId112" display="https://qualp.com.br?data=jsM_V2tLErdJN8_Wl0c5CrYtvPAChucdNxp0CexNoRrv-Tgf9BwxQuXFM5D3Qs2C7n0e5BHfKkHIaZQPWgaSSUkm8WzSPXVLZpp_SU6lD7HNJrNlrZFXy1CrsDm4atpX_H_Iu8n6FNm4ioLRSa3_VxbJhcPHxaz9s8a_2XUJtRIH35fPibL1-0M2yINSEkABTxaFlM6rwBc5GMLf2z3MdsFkvXcO_SVdL4UT-mGcSUpk5rulvk33FccgK2s-fzrR8lZHeXrP0lPdxGiCb6FnCPyaMob3TWJCS5Tq3CX8pf5TGaWHo6e3XI1K1YCD_j-uo4RhJ0QTiY56XTmr6lsBni-A-PvwV0wkPBkljGP0N_72v_b-z-iQXxaxSaiTO75gTW-RSuXy9fYTqJY3lmPxzi5QEoBnxO-bcnWMl7GUskcVfvL_rcnqHm9d71MN2blzPv2ZLUxmhjGKLgPBlRD89SnA27h0GrUtjxgGwad_51oXzrHXzr26EW5hq-QWmkIKMepFxxNFnhIskn2ACGx-MxcJZf5CK9Y4N-6Ofc3RqE2LbQ&amp;type_route=efficient" xr:uid="{E0AD115C-BF23-4D3F-9104-88D684F16C55}"/>
    <hyperlink ref="G114" r:id="rId113" display="https://qualp.com.br?data=41J3AEwa1OgBtc5NIpYkNqkLodA3iIwVRl2ncsQisklMzqhVVU9d87Rpdq1NY3SaAcJk0QdfvGfgboCRGFpA_eTfaakgzqFVK_1Cih3b8o378hzn3-koHC_itjtNvQ4spp0QwHu63qq4VNaOBptGR3-ivZNhsQ_cMz3K0wTvodF4NcEAE29qEgmzVNY5pGFEuB2TJuUNLWt9Q67GqiZtgE96ZU0nf-P5_plEv-qOhG9wy2TDRwxdv6X6L7ybS2N7qWIdVZBzUmmvdboJyHaXhbulYCgXdkJdSuDYanu12MjH9gKmKmvi22Ykcz_Y1JMEXgFlWl8MNGxJuopm2LlH0FtmxmKHDd1fFMCmrTpCrQeqraiDYIKjBVr6W1PAJObH14QxBB1N77pTvJw06uT6rvZfjrClkHJhS1piS0fipqInRkcnAXZX3kQWBfuQ_Cvac34mGskZ6zmMm9K5oZ9speeGm2jcPCW5K6G_dK9kFIsVjhYGsB_D95R2RxSZKz2JPiFS__-uFQCIeWepvfeQoQVxu8T_1Snrqw5ubkgvnixs&amp;type_route=efficient" xr:uid="{B89311E5-511A-4400-9605-07CCC45B842E}"/>
    <hyperlink ref="G115" r:id="rId114" display="https://qualp.com.br?data=x6drZQ-Zzx2tLkfk0POFjBoVAghk2a2e67PC8Np5bU-_EWruvsidgz5cPzyJoJoKjlKvqXvjKptlZSUiv8ECKxjM1VffqJ4eqwVQ_qkRQksxl6zahhjHBMrHShSWHZzcQo5dE4Ed9uZuEQDMesjvlTQRPu7CwhYim9BZ9gAHss7i7Ly3EiEDjb2Oc6bg0iNJLIWDBaSvMekVXtTDy-fYk_5o1-iaxRis65ZS25vxGCOTvO51lOfu8KQn9eM9w0bvlvPv2hk6sHjNC0yIddPUqnWFUIvLyerPxek8ZEBJp4dkNW6EP0F_ISHdAlAdFHPP6qDpVYxUre9_Bo0f9Ss1f4WbUlhS2v5qFFv2GWHN5EiL01NAqhYzXGa1Z2YKnIdoRJbv5CTNcK6trxTLVW-FeMfZfL5zyseRfrwOkibiMES9mkC_dQrhdh76xEQ09JAOnOLm_bn5LbKwY8teJ4DYFASL6jKGtMVtvfCNwLoxKDcvgQ9fq66j8m7RsJpLPQpxuXDqxwhxyeVt4ojHaKU0JLOER7IKI6SePMO9t2ES8fwE70kPPHtNHR8c&amp;type_route=efficient" xr:uid="{292FFADA-65B3-4D52-915A-4F69A7BEEEE6}"/>
    <hyperlink ref="G116" r:id="rId115" display="https://qualp.com.br?data=SXxi9g1iBI8Efv9FMQKM8F5sDLCqGyvpH5MymKm3v5iPUmFjeecO9XXJ6B-Yc0P2TFJ8ccuWS1VArhQJNKQ6aW4OD9fiV6TUeYsdVmp1jDbXBUPfFSrg-WPjNAuHbd_ZERd6SOrjvbHRyIXkBCKMwlSr_m-HH2ncjLuNDPBGvrBK0N1xDhhKWp7PM8hNwzV10HRGefLhOUnjuOntg90KFrndbsa8YZN8BMfEUo4vnlEscCKqudnC12B0o1XYDTufq7CAWOmc4-5hzKLy2rP_XiZlVJ-AHcw_mpRZs5tstKY1r35AzIEt15UY78ChV41VieQkuEHili7IzJrIfrVEOLpkHUvylvXr4sfSpfGgMvIzyywq-mC11bpJR1IH_yY6oAAGA_AlZfiXtNeUiaj-iuRG0qoQMUICj7plSnDw6g08hqV9NrKadLzL0sE09Rig947DCcUxezA7cxDbbXc20PBwfi7difrTytC_5gWcQx66E-zw4Ybj0SP2CXgn_ht3sJ97XTBVEPgwvVNRiG4lippypZOlwbfSw03l3ueVvRCpfAwiHV8&amp;type_route=efficient" xr:uid="{137E5F4A-A255-4498-A0B1-41CFEAB53888}"/>
    <hyperlink ref="G117" r:id="rId116" display="https://qualp.com.br?data=-Ot_0LXEGfPglvbxnP4TF0uMyZqwkVlmUeouuKZN1Mv9R_I69AMWmwhk6ps9pH8N--gr23eqEyD0qQaIkG4uoFCBq-Q_5hPyjj3VA9k--i4eRE5r3ZnfB_hqIaRzoWUO5_CYFoxl2Eq4WaY6g8OYOwn4YT_g4URzeeKuMBNl0Nj506UpahHI8u8lM_zwS-knRpq4o9p_QY-YJYOCwM0k1CEURrLrcq4IcEDxSMlnweIFTQnZgvYCDYInkXUhmyb3yReB8f2ZIpIUhgZTd9q-vkItQxECdRAtz-BrcHUYN_0skIaJeOwVkwnZci86t6XRHJIku7Tf0exfdm96eg0H5zi96oamCWH4FJxcQZ5VltzSfv07yDThPkWdW60WFvu8MWE9haio2qIFUseZV-bA03j73HHbZYYKzytBlj1tU6y8HEJZXFSXbgc1Og2V0Y4Rh_mTkcNAIe3LqRfrzbDaanziJ7r3qRCG38SNt1IFh1VGM-uHVuXu4msAPnVbET7vSdjBxPufRRIO_XZtNQP_5ndCr71MQguGX8HW_67SbQ8Hy-VvDlbEtWI&amp;type_route=efficient" xr:uid="{8F8531C5-FA54-40E6-8635-2838861325F2}"/>
    <hyperlink ref="G118" r:id="rId117" display="https://qualp.com.br?data=-hk0baNH0jpxYntS9APN92miMVRfNXU7skB9ZoHH10B33i7yIn_S5974DxaUhpFTAGcIQpFqy8F3Xnr6m3G0NAWa2Xby_a2_iyjHrpcmZiRfbtd0frsvrr8So-knaVtHymKT-1h7sPYT8yF6GbraeDHGeku5kArVfqnjQx3SJdDDmg16frsNIPQ9Ps7NXrHVYF9f2VOm4smee7vk8kv7Gy2fZgpzL6l9ZwGQdp0jg2ff6ABaRupgWuPVfIVzXpMq8_AzxOTmVAY7Bz1LbBp4FsuAPAGkbwEcm40wOo_MagCEXtlQC0gdpU3ZVX0YaXNO5YQLnYcYmsQUfWlR7uY-nDO9O6xcX-EEBUZNqpsh6pZEf18PvFmbY9FmGKM2qiT4YSv_I0RG0zdajl6WEOxK5gpHOwgSyn95ydaShx_3-fIkkOuoOsNbtCfdGtEW8yb0Sjsx8si_VLouPUfDcUb303OeZEXcYHjm1qEJc9-4aGzNftEOR8Q06LWRvGGnDwWhEqRk4epXweHo2vJSZ_q8sQ1FwvyzTZG7Iq8OFhgRD_YW&amp;type_route=efficient" xr:uid="{8F1C029D-4978-4982-8458-B8F7C9575DFB}"/>
    <hyperlink ref="G119" r:id="rId118" display="https://qualp.com.br?data=ECWG7Px4Zv1AQJnTEuyvcYKP_jx-Ke63aF1NkHjIB29-e2G2agLRrdsIOprVX_anLop8cpXmWaQsQ0wOS_fd7xoZ4_Z23PPZLy7X_G_r8FmQ3Nuqmgdcf24GvfhuMSnAcK-eFDylZSflfuFZ0F84rF-WpUtEtGcQzqtJs7ICxGusPDiqd4hu71CKp16PdVy-47HAbqNlmdOnRJ859pauaXwhbSuDsTyM7ybx1EH7AKDFoYc-xctBFqH0wMbyqiw7GEHpTlXRCvpdK3QSDdE-FYKtoO9RpvpBQ3XrN1iBVM1KOj0Ef8fhlTjQa5O9rZhw2U4ze1EG4AwqB_e5M_B8lmKWuiWShmT8j-_POK__IlRxx4QwvdBpyFlHengXjitdvu3xDdFG0UL5LPbpP7zZIaGrJw_Ix2Sd5BYvsI59iM6KQjHfTLBcUlIjKmaUehm9NwhhTlF7VXq19tO5y52EZuMKxHz8HsBlxsWF-o5I3xfGKAFqPQkeK2-DrZM-RpHMZb3236Dn0dIkWyhvCXnVTvJ8kWp14OIpemGvOA9SSlYfe9g&amp;type_route=efficient" xr:uid="{A6C851E4-B131-4938-B2A8-4D6BE99508B2}"/>
    <hyperlink ref="G120" r:id="rId119" display="https://qualp.com.br?data=u08CbsQ4vf9nJz4UahJY4T_fFqlrhZwlJfFQgUnM-3cdvZOC5RUQnKDj2aGRiTOJEFGoGtySkXw-gdHbuFSHQBmJursUpNk2x2dkRpCQu-4WJAs0cwT80sQHMmAz87Dw2G6H0pAKBoiZTUNbL_Tvtrzrn7wVEtUXPMwf7rq4tL0KldEgpRwyTswroa1V88uECc42kzmP49J1zI2AIM1yH0TBVIVccvlc3Gw69AmZ9unhbL5G_nAl9ulvL7yfHby9WDqY0mZ1BbPPYrYAKdruSjG5ujeseL5kY8Xt-7r_JJlmG6gamEZxlQgCkMVv6jeTNq0IYXN7g39oFENKsRPshAKYmt3a4_6Xhs9fTXyqKqwgdRCEdX2bmjKrim--b-TT67HmqMOqAEfPIF2v3cH28Vl6QpH4Gp51TDtfLLpJ9qrs9uUBz8Tt-eBnvOhPZJClB7XEQxWgQtUOQzKrz9TBabuUhvb87DWWdChprCSJJQH6h3wJaNAdv5w1SIpBQ7KTR3PQDkg44_wdpsnLjMlLZwQmbQBKwihmN8p3pUM3qifT&amp;type_route=efficient" xr:uid="{1CA14B37-6DE0-401F-8D32-66C3E026EADD}"/>
    <hyperlink ref="G121" r:id="rId120" display="https://qualp.com.br?data=fxMd21I8TMhaDJRGgnmRdRCW2teGEn-zNSoCga1cM4Ch2ntzOX5J522GxnthV-JCZqCe6LZWv53dY-dbAGeplISpngTrwtqzDKrSuKzoC4DhSvGYUhx3N7-_oc9DTVpQdf_C50VZdgefj8U3J97gBwcXQuruOO1UleFu6KhsHBhc8vJtTBX1TfZU6JNh1Xw6grExa5AimonI50l8j5FILG0wh8vgJtHaXqLNuLXwBZZJc7vBw9C6SlU9XEI6ElcItQnawZTb_h5Nr69yNtqI4Oimg6mUhI5mTvcB88hIQ3xL4V-BYg2flI8putmVio77HeFq8eK4wHIy__tTW_eLxpOp_HSVxBRxummEVZvLTXUSeXAmoVrVrVKcmThw8x0ib20fBYPIttp9stag3GvCRFW_iHA5ZGcCKPoVEYKxaxsThXNLTvGpVbH8GTcB5rY0coYlbWt5HDgR6iIcEaZMMSrJ63PV5DpV_Gw4stOUSLWGqNZdqVD-7FDZQG-JkXj7DfII4TCERpOJsrxi_RNTes8LqwKabT-7ImeXkXcRA_H0&amp;type_route=efficient" xr:uid="{649E718D-C582-4B4D-B183-D1686FE6971B}"/>
    <hyperlink ref="G122" r:id="rId121" display="https://qualp.com.br?data=hTGzxuDFZnyoIsamUAkVi-2Ed3T3ry3cCptZJU1YXj8J1u0_TF9aGeyrgl5Z7JFDE-kLSx1FlurpkF0oCOJfdvgrSwy-1Zf_1o7IjZLAF9N_nmTDXvVhyqluv6HGK-qrYfy4sqlb0HHhqa3wZwEAXHyRcFq74vCoYKG_IPyYcYJihdk3OF64UT-TazuMhCRiKbdppY59VwQL2kkF2W0efKg3eQihKrD3dbNftsBWIOz6pz37-_OWY2Ntl-7YnIPkpJT-1Tc-OvEvqTMjF7_XgHZXmybj9Dp85JHPIt2rCSFLJoW28bczO-phITswruwLwiEqDa0YFLRXpDnJQ_cpiDWf0dNED-1fVUfHDHKVKpf3Jy8RIqvyTgfE7clNqF4pV8I6Eo4SlEQszzSU5Afmtq-D_1gjnSVHZfZlFqBpFx89m97BvjLXiZsP1x4hFBXjuJa0jMulRuYRvb7xBUflU9PMWhO6UkTJddZWk9PP6iC4HbGAM6oEshbrTSXGYCihfIl0ERO56fRCI4BV0icyvNSGkbY5kAeaamLneTHkZPg&amp;type_route=efficient" xr:uid="{765F99C9-D52E-43B6-B33D-EE5DEE291368}"/>
    <hyperlink ref="G123" r:id="rId122" display="https://qualp.com.br?data=5UDghOTY75kolJ6njFMDJlqNn4mpoRQSnVc8gNstIYClOr_9VJmZ95ZuppIWGg8sFchlXLKqLHHKaTv6Won20i7it5MJkf_v3EzlLmQHsNSJXjPRfVoBImK8AqxbxuQ2u7PkaB-mqMDcqqRW9ukmyURb2GMMuMGVP62gxEW7jjLUG-8pOXMZVfXUGMPL2NoxfeZlE5rgfnbdIQiBClGJz0NGdPV5JDQB_1hS9AlwD_zWQkUNAHMrglcKhGYg948Rzx-IjzxnS2oeW8CLG48iJ5PMGBZD6voDU553xH4EpJw7rheoHgkp81yg1LKscBs76PZftEHsFIv1rLYnuK0lOVYBDqhNNDgKkEgX30Eg6EDI6h7ENWqcPaju8PJeCJbKGEGzLWdGs7dDOYfY5TMJnPCCbhWS1zml5h2UenU1Y3aL-OtL0g8HqCY829AGN7y2ynPOdSoYVKJQM1-1PSynXYw8g87B7TFUAeRM4oMmOfcriaHQJpCXdMnEt8iaMmVVw9nipT_O-2FkVAzAoThn1bnwqNMloFu8UiE6nWj1VWIrqcSgI7fpId8sgg&amp;type_route=efficient" xr:uid="{4984C61A-8D9D-427F-BE9B-09A2C3F4A735}"/>
    <hyperlink ref="G124" r:id="rId123" display="https://qualp.com.br?data=jfXuym0muYTWvgwEkrTpWWx3ijO9yht74zrPWYxyffVEFOB5cDUGosKT0e15HKTkkb2LpQbyHLLmcrIPK0qqFSp3PX9Eidiv7HXdv2epQQk8WeSsva1r0h00e6f8vp0AOIIin6iybLw-xxY8rDzosj2UIEbzlMR3ZAeyQYWEGhNFNaFK_ghd1RcjgC8-nVZznkBaypn4i8RwhjImyiBnwqib3YaJiuoY5fByVd6Ufy87VoERmk8GMD56-hfQ2MCsfdBcVcxfK6NtQOtc6eKPNWBNA2Y8wfHnItWB27MQELxwo6dFDQl5Y5OfN35Jbr6cMtIuVEgQgYOMoqUccqKpRDhFgxtDB88D4cchwnV6TtqEMZoDdL1gtBHGWz-FBw7Z0xb3G_ajsfCLoHJ5WzoJ_rGmCQ-9L1bCav47Lau-b4Em4_ANF9H2FnCcEnDe94hM_dyHn2BxumJ8EOtILFiqjDEC8XHIFgmFv8VtfGDEG7uGpNj4Lo2C5jSmoOQOHZ6FvYJgyv1fKDuhZqjYOCThOxwtS8wvpbCkIw0Hee6CcRHZUUHGAE2F5yJkTA&amp;type_route=efficient" xr:uid="{B44A3117-C42F-477A-8694-14B8F8EACB1A}"/>
    <hyperlink ref="G125" r:id="rId124" display="https://qualp.com.br?data=NQqx28MMGPeck8qj8OEQ37rzvTwJoC76z8X-5kR0NPDdttqbuBhtrO63MoKMXaqpbgGpeSwmWpR5-z2S5PIsfsXHUczT1OMhgWQqEGE2WdQi8fLkn0Ff-sSxnGQZrBUbm01nSIJCskJLxX2vgHxVUBcmKslPRwPMc6jPs7aAJN-ubjaGGCIGh5NCH3ap-kOJg2dV7RadrRZkyTrbzzfoPRsh545qy-oGDgD9RgX-V8CjY7LBZQtCTPVYEzGMIcfy8BjfcFhvdAXXmZzc_tDGQlljGR0i3YI7Koa1pq3_Blpo2VykrOFG8fyZHxzNs3irwaVdfbE1fXVIGWojMGw3wtwxAMbgUo7nvhuihCmUgpfpn5nUmWEbvk5ONWhF2z4MHEULgfxEMzA3FsSBWWe-q6wX-IIO7xaDV4ZnjCNTfc9VhgYd14wakrzZZ-vCLwZQ2dFdPJJgOBbvJABVQ0TJvVHWmMtLSqax2tHxJbyQJBcFLTIitGVJAs14n2v8KmV8rRywvjERQjUH3WusuZFnGNmjVUCIuwRHE3bOpbT3dt4FoQ&amp;type_route=efficient" xr:uid="{6B3B3833-5A90-4BCF-9C09-C61C03BDE8CF}"/>
    <hyperlink ref="G126" r:id="rId125" display="https://qualp.com.br?data=6ezWdtClzAJ9x2YSe4bDSY_ctInJHty76EgmOpwYLELeWCaLcCrmwbPDA7VqRA7v9_yPYnGxFmLvp3WSmR1WKwiwfVRrehv2UQRRhMVAUfoqVVcK_OwckYuQsK7V3vVZuyPJ91E_V5MOLPifQlfwDI7v5MKe0Re-LNi8TAmoXYk3VChzaal_6ZoykEdSqcSqw3BATKWu9p19Wy77RU8qKgjdT-vDkXzerQSn6RnVMqsx2FcnBaKl1Pmw9-AUvber1pCsdW164uU-iW0CyPU4BiVXsYalaCQ-1wLCfPjnZr28xmzfvaXC8Pyp3fEaOZB629ElJef1aZP3eyfIOyEAsF0YUTVXz85ykmAwdQ9cfJfJhK2YclXhdrmpHs-idi7S-_ptjuiNgMjWKVVFb9kJkhcyNZh3VOY6mzV1Q77C8KQmluV6bUH-G7aXe33Lt1z1Y0HN3j-J_I31h5VPkF-xUX6eaTTrbSlUYftGaHRrVkhqLnYLOUq49vLl69lfnovYShB-CK5_B0K5FEmmn7VmsEIuX0im2D2v_HijAu5DXRHntao&amp;type_route=efficient" xr:uid="{725395D0-04B2-4DA7-B9C0-AC286ADE6933}"/>
    <hyperlink ref="G127" r:id="rId126" display="https://qualp.com.br?data=ZWBmVebP7Z5V05QKyYPRSJgvUFcJX0-cmw9G07sc70r53DPWwMuhsT0nfsUYYyOR55_is77tFwZ1uYu2QC7LqjU9V2INh580ymJKfWXyZY6Istz8YjnbNqW2sfclLuqqEZGvSOg_8ZwhoR6XqdUIEIKIVLGCNIdCzAyKdrQGKRLuDVmAyFW6DlaMva51KY-fnWwvznRQOJduX7S_BmuMQyg7fegvyUtRSQ-W76yO6V_g5A1l2sz8fCQyqMcKKDfnSv7l3YmYAMsGDGD796rhAQoQtKuJ6bzi7CY5L_Nykg0iinLvJzqCC6RBqCr-gVPJUamJua4lvxRRVWGHtX-EPYC9kgoZ-ywb4Uhzb8HJktQV6F1eN39Q5KEPPFEKQVRXtFZPdMUPQ04vFrAfoW0LgcKygmyGe7Nv4JfMJhJTLdiP9cZovizN-SaPB8wAGFnJSmh1cnBxszMTvL0fMByC-rcjvvcBFO6zRC0F9m23L3zXIOFU85KHFeZrUE9D6TLmU6Sh7U1FqSfllDwF8GgJCmik_knNubOBkUcyON7DH2KW2NII&amp;type_route=efficient" xr:uid="{2A1FEC35-98C8-425B-A256-8CF5544159EB}"/>
    <hyperlink ref="G128" r:id="rId127" display="https://qualp.com.br?data=pzhzzVAZsEf_9uJ54Lj0HC-1KXH61imKHk_mJZcsN7n95lueP0-UeJlE9c0iGw1A29AowUZC8xK2fhPN6LscrTScIIGwxzxh-P1wlAP__MWs8zxtCOHUbExEAYUVnAwaDZYos1BJgKn2ONa_rJMLc15oeMwks7EPicv-QkMMjwMUIqLHsZwMAFytW9uLxTFlDDX0qO1nG7EpitsRn5HQjvUs1rEXm3Izi2AXOBRhRrC0eWRmjv7Qh3ZH_ZZiGdkpdLpEihHPuIvTpb0HoqR_MQUWxuTebYosowE1wUqZGkFGITUp697qK0-0Da2IJ1I72jb5tyLfMT9LVbszHaZUwYm4JUPLhG8kJGAHaddQQaga2Bub0fLRCVxk8o45Bz9wMuhmFZE0bVClyjiXj9-CMNQUhkv-xUngb3J9O_yXn-TYZrM4wG-idUjyMLveQPK-3igQBfyZGOeC_ZdFk2g7ORiC1fcEJ5qbhlS8EsZH-_-w3CO1NqcTGjNqbw6GhZAMkgifmA0-UtkmT6ELj0kbWoH0MVe1vNTjOqi00OvHFg&amp;type_route=efficient" xr:uid="{A2BB2C5D-2276-4F8E-8D17-5971732D616E}"/>
    <hyperlink ref="G129" r:id="rId128" display="https://qualp.com.br?data=uufbbK3csxROIPG9pIMTj3VCYR33A8dyuc4rE4HKhycaoLKN6jAkEFt0PukkcMgiCZfifK006ii0K8khs6gBnSVbmoLQIu2bgo3wSvdDlJVYC-sVsCVAEQInd3NbB-3QsnZGVYC03JBB_lo970GVhQy26qLwA68GvBJGaVBLjdEkYf4Zkele-cp4ysr7WrqUBfJ1yqNXtGupMLsHiTMUFXcph2NtzS7I4CCgyQAE1WPnRvP0J32NK0Y8qGsIa2MLbckYU-e3b1tmCmSNcUXqCgJ0lUCpMK0W5ojkzDTcE2ZIYLCMRF004xqK-2Y4ROc9QEoaME5jqP3qMr_z1eTZoHgtsEysh6XMROTWTojH8BQGT0h-8Xj_v_aCgH1oB-F_lB7nvg_WqGj4ooPNlGIvaS3cii15TX9Xohdjf49eXBoeEkIL0f_830pVPkEeYIu5OsLgGk_PamJW-90I8BDCDZKj4rgjJbsvYusQ0Hqd-UmQIysryGmem_TLvu0XvehIQ_tffj4M5134AEvNN4QZ6PruASdLkp6ydB5HigOCaS_Jf47mqpub&amp;type_route=efficient" xr:uid="{48B43A3A-1B24-434D-80C6-C0C3962A1D41}"/>
    <hyperlink ref="G130" r:id="rId129" display="https://qualp.com.br?data=Pi0y-l0hslo9OQo18k1KiqGFdeFKO7VgujEy5c1NY-63EDWph7RIejKXZ3nIzqYg4DdX1CEk81dMw8mR_w3z3BLpZD2ZNGlA3mn-dY1Pq6Nn3GQ_hpQGPGmiZeanEBJpUJmnkOivdmYNn71CdnEXr_619YZxurIKrNsE4KweR1vwmdhZiinVWl_f3bNsv7GEPzTG5b_HWd0nLj08KPYM40C-gqLWcSVUgVPC2C2JyvhC6e0ygCOBcbeyp1FhxzD9gmtJuRj5olWDhrnBHey2RP5J8WYCxsqSItTbeLVT4WyG0xBWj1iMj_K_U3t48dxN0PnlW9eslbLM7kZ1yPNXXZrsiSV5vISmf5kHHdNARhA6BkqZ9rdo76mRMm3PbUOiM7d06C3a3geCWdI68J2_iOyMAay-_h6S7VIeDuhhRstd6_zMQqe19UuZdp64EzIhqAXtH9KvURwCfqYX3w8KRlc56VR2GwY_DMP4cI2KHj_w-yN9zK4_c4DRRZlpXxw_5bJB7YyyBabDaSmO3HuOUIOxlDGoHN1Ua86Tr-EIowmwZqj4&amp;type_route=efficient" xr:uid="{39B5837C-C1EF-444C-BEF9-CBAA5E13228A}"/>
    <hyperlink ref="G131" r:id="rId130" display="https://qualp.com.br?data=g_XPnUKvk_pN8HqfIsyjcMA8NOuglFgqg_zXc3QDqIHFWaKzI2YtbTlmiDyQwe7Dbea7McB4RxstYrqtVpbCEVFoX7wats7ql-tFbYk2m2LahFCyzrfzapT2CvTZwZ1OKee2r2r_vF1SN0Tg9i4Yal7w8ExOmgFEkUT9IZwsG_4x0cTbW0P7sHm_8cdhmmMiDmZaoXxvwYm_mXi5q-KU38lemBlzTNKGs4V03vpJReVUGyNnMa-6HM9VVvsuYRLRUHUpR_mC2hqACQUZ3H1ofU--RK0bKa4fBHtqhhfycXR8C-ADyJVDlv1uhXWiJboiUNDLc2j91AM3MB__NIjUpuVhud6o48w_Hfaomen-6Xm8w93P5CZM6sPq4NucMKBQZWCkL16EiRTY4jgvDQJkx1_RzEubcebKha7PmjRJL2mtjuazYqpQRCxlV7Yd5ey-8D1yEVxNpaPHv47kuYHi6G0iXp2EEPpUJQbOIDLEuMG70fBgWb700P_lO2egdCZiRzwG66t2fUeSNndRcDf3lS10aHuAbGe8Bq18WOm2k7twVkNKIwOuvIru&amp;type_route=efficient" xr:uid="{06CD889E-4DD4-4B36-BD8B-5FDDB6140D93}"/>
    <hyperlink ref="G132" r:id="rId131" display="https://qualp.com.br?data=I0X3R0Yak3_smzoVHZLy0EIHHgCXr041T3PqHDmwBYtudTHkS2qbVs9n6zCWnEAajyucuRjVoBzXpusOelb8BKhT2MJFckeDCiWG4qJthz322VkUmLLUZOrRB4CBtQjKcukv1yApCqr4sffe5ApS6B0bOqOygCXPX3sYGPDdbb-MUlS4eTXYn3FeGbrrB0DBYMeFp1-V00dQvApiF6uCw3ZY-3MMumvoIAEHsBS3nmrrjs7GSTMd-T4zQFBMMVUgrKB-DavhZmG0wS961JZvtgxzCNJv7765Fajyrf1RYq0EmfH7KvYi6kybBQqus4Kka0dAVeMGLD7qYyEmG24chrwl-hzIg3agjSuVU3zjmUoFQfvTWc1h5NHGdWKiAx3xZmBH3YanhR1dGT86lzyrF2OZF4MTc2qM2a0X_oJQA_mgH-WEElJ3F18sAZZ433sjIKz1A2wuPmfZiZ1I_HjBdLfKDvO3NT0TglTtZN3juCum3NLkQSbyKQ1q7NMUiXq3UdzfcbehUNGJH37OBjloqTGE3qrkEpfIAQ_LbfzWVHRptIfFrc817wo&amp;type_route=efficient" xr:uid="{0395E484-C31A-45F2-9DA5-093F7699B4A4}"/>
    <hyperlink ref="G133" r:id="rId132" display="https://qualp.com.br?data=9JHdh0rxQLq3hAVumGnTbRGG2OyHozkL4jjTJnHNYQyI7s77MDAWbIEYK9ay9uNGtDqfuXW7R2vvlv2BhC5tVoW1aHWR7wxxZ7oAkJyYa8ZYPxkNDW1yibxKyQZG7_J95cQae9T6_faUq5p4GV1GEQ2xxclieu9PjyrFRh-mD4mdrJ1W6zctblKEGglTYiFbgCPhfcHe9QmCjs6ohyKT3tbsCh_mHsM8jCgVt0POo8Zi27aU6QZtTkrWfxr23t1VDAZKhJja_zl0B3m5D-z0RuLvp1pAmPjgtd7oBoyIxr5sovTzdHWk92a-cc5X3VyoT-gBgdNkfjoV__Zjeq-Ozo9bdA4-EAnmIFSkWVQ_mQ2cbzhC5xG6mAWNn3LM-83Uba0Jo7GhUe27U2KpvHVgoMpN6Oa6yLUAuq4Hsaf8DxWQoDCoYeQXaT9JScYXa5hEwa6A_J8nRZVzCX--E5eaxe_03y62hDPUZp5FT6uVUcsZdlVADr30bUyPcHGxnXI8ZKsfgVCSUDgwoOOJ4oniOmWo9lUBQZArGb1at1V31h4R4Xb-pvzu&amp;type_route=efficient" xr:uid="{C4E3AFE4-E590-426E-9BCF-CB8E90B66F50}"/>
    <hyperlink ref="G134" r:id="rId133" display="https://qualp.com.br?data=_2CSXsGktjksjfCuOErE7zBlA5UG1Mp7k9QHYC3VnZ0bOd3Fp91utYg9WBjs5cW6DJg6cFuOuY6GbXcS2LfZ8qV2ieU78Y1eMZy-BFqjqumLQ4Ed1AjyP3JPdqXXf3o7Jx57GJP-DrQqbh_U0ZIxlcJRJSyYLa4viR4OQn-qRwldY85UaSE8pF_2_nslbYRIu8d_rSUlMRxyl94mTwOcMyV9xXa6eonFstE5_M0ycH-hmv6DZRmxao4F0kSeLt2pnebqbEDWwjl3sJmGJj8M9y7QQbJ4464TxrMq0YQGzoOUBIohqURMk0HvI9Z1ijYqHXwsG_L9m6Ff7DBDkRhPpkQgTLWEFORFAcMMLhiAzRyfHV54wj9Ee_TFpCCtFR9K4fqqtV1cHQbxxorpnLTLG0QJSNRJCIaeGez6jU20jgSaQQ_6AszrCClfSNHfWLzKOSvRVWh7kab8wZOUXiikAJD41TtDtzoVO-EBc9buGc2KTJPGGppxYiJMwb1qgvjHDeeaYCP-rbzxjLKiBsA5BqG0Fm_m_1yIHbn2R2YRmCtpRSE&amp;type_route=efficient" xr:uid="{5AB36210-AE43-4DF9-B9BE-8905647DE4BE}"/>
    <hyperlink ref="G135" r:id="rId134" display="https://qualp.com.br?data=DtE2gVK4vPzS_nqaKlD_dpSrT0uCD9_eS4xfk8pYK9C3XhHRMiMjD8i6kl7wDW0UyTxM8sM9MsnB0M-IkbJ1cRt6BvycDOir17kPKOaeXu035OzoaahyESJZHT5adc5k8S5KCxlcnQg2Cb4F57s4W2DhGTo_oaIV5R6qshQjYKfvSfR45osa3CNc9HkuWen32MZSV1o1JBz9UicNM2AuDYSsvMmQRKLlOCBddl7RvUdx3hWGJxucN9F_ZwwfmrB_XIjGqIEnXqXrxHKP0EJMjFban5YX3DVf3keS1xPyaWyLJL_7AolVVqbrs5Wa2WK0xewZeyfzIcGjeX-XtBC-HrOdbD2F41QhN1VDF5ICrfoaqDtrJezbLgH58IL_9uKI7vsC8E3UtgkuQSz50sDlHqmBGjHdtQZEW5wjQd03450nxY57Yz08qoWahzgjzDnCx6WodLf4Ql5Hk5XOpX5iMil39RJbNmiI7zZf5uwwAb1FgaOpm60VYyuz5fpouHjKmz_o6FiaEiDujwn76LQTADkuV4I_CcTCvAg9qOtwvLnrRbY&amp;type_route=efficient" xr:uid="{651F96F0-1996-4628-857A-3526A3F9C977}"/>
    <hyperlink ref="G136" r:id="rId135" display="https://qualp.com.br?data=vJwqH3rVIfkykuHqeDx6Z2i6_NQPXAo71HZBYJMYOw2QiBpWg_53d0AiyJp99Np8DCbmossZcNMpnNS_ypn29razU1rAx8lgb81q3aswcJwmskHjcptr7bnyCN5l_cdpw5JSosziW37boUcIeW6CmX_A5udk9tmV4vTcAiZx73kwlrXQ8IGLwyG3c-RKEcSJBl7bQP2TV4n0qZ6GsjGkh21G5iPcnkxPy2K3p4TzMc2GW26_0IHTDK4syKErZyZr3dwRgI9W3RN_C7wMbz3w9RGfOfhGGyJfJk9S4TgRKJIzy5HZKgPqMgL2vLItXAY166xKP8itxXk_tjG_nY46HZTALWf4A6N4foGLHC7kTA-HxAVD7PLANRAbR3cbwqN44c-mPn5GKJqZDd77LuUYYqfu8CbxTjVT04oBjAsF4Lw3jq-8xNruSxTTs3nCpA8-19X1efkpMzNRzmAE-y4eSkveXCabaqM1Dlx54zyaCaz5ZHFDIt2EU6jdNc5zsDiDxqP9ik9NOY6s1QzpOmjq0e4JHqpLKcldGvY1EGil4F0-Gqys&amp;type_route=efficient" xr:uid="{1AD6234C-482C-49E2-8F58-01A84D6B9E87}"/>
    <hyperlink ref="G137" r:id="rId136" display="https://qualp.com.br?data=f9Wgmq8VVLn9YB1cgcCvHHHebVWXZqvldQV_l7a1jat7Os1Z_aKmbxMMd2mWFrZ2qY9QTt9oQKVQnA9iCwoHuyq8e6qhGPZluW-OD8lK12FEWpdJk2ESuH2xaMVCaJQMQUafh6OhlCNHrm0ZL5WG5E5v87iEiQZp3qjslwgLHxRsYduU-PWl2NF4ZEPIe_LzYg6dgQr5AolGNcZm2ZPiBaklDLcmAvdRi1q1YumklN3Y3omyVUyxBVpuJwatcP53LCu8Y4-gKr7Ep9tktUdbyY3lSuAYg8Bsg6OZYr5139VD3tKH7DPNhNBR2uA4yaPYvdUzRjZFWpFdCcJcJ9AaEfSShDnab1_MKljChu55IGtC7nShVQ13BTYmCOEPNS2_lia5f9oaY14IbUXoDD6YXYkFF3_4r2DzVjTW8AZu1sWxizvI9bRX33jzOXzIn-o70Jc79qMtfRPOFisxSStAwru8-6VjiWFvpOaddEjmkKxsVUyqfSYwlqxf3m-NJLig76Beg-9CGvTyTmoz0p0JrLj11RLWPWyRsgpy9JfX3H28Qd4&amp;type_route=efficient" xr:uid="{F288CB32-4C9C-45C0-9D5B-791505195D47}"/>
    <hyperlink ref="G138" r:id="rId137" display="https://qualp.com.br?data=dtPNGMN-yP0eOl462YLZjDi7YOjcn5ye3HTM04cU2OyF9nzm8cRctbVBxN1ewA31CQLsVoPlAF3oZi_zSg-9OThvbov9XsXth7UhBgr7Gx8WF0EGXWNwVVtIXbDgMr5R0vtHgBJ-qYNBgaZpYaYsv_W711CP6D8kmBxs4qBdFmHLKM0RS8I530kwp7JM5DP673Oh8W9N9i5KrWkn1NUNMtWxP3x8yTq6dtxtxmxBRMDgzEaH-CKi0-hjZ0UXYcclTGewG-ZnhfpY0LDNMNTQahbvCJfDOwum9MizUdcpsAUvVasHWaOJeZUIqQSXI6QNyj_JPJ6oRmDqfT94VNBo3kcmm_dKw29qe2PL649WE3VLGhAoqjOdFnEUIB_7EydyxRNTP9YDEeHHcqjudXau6K9EUNkisctNOTQj2guWlvmSQqehG83Qmob3l3mTxObOAFtM4OgaNw_ZfRT9A-vzahld2xSdp4XPKp0Ttfp8v1qXLjF-lsggXMAiKeIUuY3uo8w_rSQsDuflUR-D9QOt643CW-43tTtKuUTRoeVjHhMWk0qesQ&amp;type_route=efficient" xr:uid="{8EEC9FDE-122B-4FFD-B5EE-6A3283B7FD0E}"/>
    <hyperlink ref="G139" r:id="rId138" display="https://qualp.com.br?data=k_aSndWdS5tpTtUyuVMV22ifDkG_diM43LDcs9giMQKsEX1NOUAtCF_xkhDBJa69JUZX-rOkrvNjHLdgBXZXIGiKDRvVPbTHaljYqlNRUktLz56lzR-AGYUvkgGuzdTWy9fb5xmpUvsosCo4ybwCyDOeVd87zhy2i3y4Q4KwkfM15gJ7PUOFcRR3D19P-P9NFASuxL6RxwGRcQrGoSYVoVXf9dtpxyOejq2IH2p0AI-qyIKV2NFOHTwxmMml9mXWAk2W01yOQC5SDmPE51D_cmCIczsQqr6eFpFxsH2YKXm4YqrEk1EhJoLKwshGNKo4J2aletzpIxHQ6JhwKjH3_m1W_669e7_aiDtFoHjeKVpH1rO4H_3wgyh4XLrUVRjflhTnUvc8rvuQfLCMruddzzrbTk67dn8aumAUhxbjGpgl9gtOOUGLhHUvQqZsom7mMyItFtAJ7_0zVQPhOpnUHOiHfmlWOGyeZHAA9QECZf5AYvfLITsuEut4OK7IWDAqT9EZSfli1jqX62MG9T-Pz8MhzZNXNvDaBY8Pg8tJ3jWS2ys6nA&amp;type_route=efficient" xr:uid="{FEECB7FC-BF14-47C6-A403-C77AC9048BFB}"/>
    <hyperlink ref="G140" r:id="rId139" display="https://qualp.com.br?data=NgpHO-zS2CDoqflwgXodshc7WF82-wuxaTNV2BdXMcaHUKj6hOxaMpd4tYmcg6dShleGTl8OzlqEPnU50UQiBGkngV0ljY_ETR_iCRf9yXprcrcjQE5LYCd86BQSPRjoIMWZopcIUkVucosNRVfYdDqmAa0DZZMLxBCt4NqoEjymPQ1eSr794rdfez-uv0S2uZLQYWaG5Fx5lLaqp5KY0hBHl61EXUaCvOR4xQOJ-L2xaNshJMbIpGObFsmnaJJlXVh-Ve-PzDJMKJwvpF5hY1Itb8KOE8KH0c04hVzqT_omEDOMgGfoNccShfSL_YupMRqXM6EmgSZ6LXQk2w_9wpj1gyte2raL1pliWSb6A5n2i-7c9dWqC0OiPGb3gbnHeMiL7oT-8LC4n2B4E3VjcQiKTynlxI7CiDxbKV1y870GFhVV1mDrdpkkXEnreRTAsjidA1INpkibKXo74MNz6Q7s0IZBVjc-ECSdXwkr3R4h79D9zUegG2ruc8EUeeNjR39vVZNDsogFT-BXPXgcuWQaQsI5oJ21_l81z3dO&amp;type_route=efficient" xr:uid="{A0B28DAA-5AE1-4CDC-9F6B-AE6AE5FDCF54}"/>
    <hyperlink ref="G141" r:id="rId140" display="https://qualp.com.br?data=SZG3hfbpkAJ6JwDVUxXpWJd86RlwunaLmibFzzsqPEBsY0_oWLtZJ58qCZHG6oz2W_LOa-MUyY-A520mQABsx41pgV8ZJaPgkSghcGC4mICsTZkSrtomK5CVpyouKSCzdrOScw9fqAyeCj2en2b__UU0q2goD_RHSMQG66uLCl7A4d6RQRB6Euw-s8cEYFkU3RGjMjgZfPdGMN9-_2HV8tBV6BarGHe0wdQC6aCXnDLoTuh_wu5tip6UpSnJPOppD9kEEDu-8afScibdItvL1Cd-QcutSHxhchiSQrdmJZuoI-prPuAPPO2WO9n6I5qrtoAkcb--YhIB7PYTa010oaZTHjQ68iEzQvGPu19mizLIi7edSDAOxOtf14hHovbY6vTfonKyIp8IfoK6S713GBDw3RRkE-rtxWp7kE85VE8r3QbV6KaE1Tivb3MYeOiDq-DQhkc7i9IMciZwcCbQ_0bkhm4Ozz273NrrHx4_f4C8IZIEa3ZQdz7ZaRvSYzYc9cezRWaQEVJw2PP5jdMewBSfFxBSXufeDpEZSN1ley_HXplUL-RXOg&amp;type_route=efficient" xr:uid="{7B4364CB-964E-4AA7-8A80-96E0F5670173}"/>
    <hyperlink ref="G142" r:id="rId141" display="https://qualp.com.br?data=wC6AJK12V2gtND4sTfw3If7q_kAkBJRLAByDVUDEXxiDcyRUzOmrg5EhfdmYvO93zKVWTiSHr61luF03_3yQ9flNR5_RCzZ-tMTeNw90IFR1dNWRpg8cMhUfTO7xQJucvxgIKeFom10VJOQtamKocy2b8knAkT9MWXaHqlUbCovXmDGMBV2NFl9YY8HBC4ID4IZSASaw4QTUl0YMI0Cd9fp-SZGc2ewaW97vcIcfEJfg-Tu3W--MDlKIjOoNQqHEXur_bK0qqETn0LrPB1Q0h0IYF6dJ7aNAwNeIAAzq84IOtKfZHguAOkqHJYzWCfGm5GGMHlhBJH-rHPmBoaBsS-zIfUEDwz65_PvnnkmNc5bgc_hLvUO9DKw_BQ7Kfw3VfE8_1jvxto-ZTrCUyqN0dLMbAkiOwTanoVqMVlBQgSu8CBbvdKd3ktQJ1tC-SBgbUBoLQB7aFzk_6IS1cOWRAC67C04o4IRNGdlN5Xgokn8zyblk_qQOoO43Xq0ZdzFWbjQbm59LqrtLUuUI0rTl9jp-rMimfedNIZzbbcauGdg-clBhIWFvZ2I&amp;type_route=efficient" xr:uid="{64567F20-F88F-42D5-9D91-FC8062F65FEF}"/>
    <hyperlink ref="G53" r:id="rId142" display="https://qualp.com.br?data=OL19JhL8lEkcV4E_bPxp6GJ0beq2m_hPO0eAbgwAN703N2Nidq8tSEbfwCBSPjuIPHVTRvvAjLJJTFL_dCepn_vRz1hvBDhtfVzfJ7ncZMQ_QwKgQh_Zv5p0cRKXkxnu9BH2N6Be_7N23Mu9s_r7r-SklzDIrQvKcs1mV6d1x_VAgsfCcsfohuMSd_NiZlsaGMOQswsaIMx_rOuPHG1Hxnktf8rw0UDmFFBORMGtAiqoEqtugCQK8i6cPK_UGFOdB1IuBRw0_usbBfhk6f48FcoFDnXCbhA6l1OS3FBxCM9yVriVdpqQTzl_QBa5gPxEaoB8mrywClzrfsqjbFDZONjGxM8LspvwQwrSeIWRaHuF5gZap7y46-74qgr2wuYK4i_0X2FCBPMTU3NGmAOg-tgn8uy5E9Un8Fh_qqXfhB92hFxBys2VTuGGrONw5dyEtmDMCeoEr6x4oFQyPwwpL48HGvCD4VR5ECLsi-ZvlyhbuSRYVp2ZdobWnAB_KdEtM-3-P1crU0Urw4qZRJpViPTp1syx_epQUXCjR_MVQGQ3bBEcMDhJ&amp;type_route=efficient" xr:uid="{04849947-0DED-466B-AC4D-72599FCACCE9}"/>
    <hyperlink ref="G193" r:id="rId143" display="https://qualp.com.br?data=2G3-TKwaNsbDVA6Ak3Uc_cogYOcq1EEJTIuE4CPwQbuHb_KY7EWqoFq3hSU2iqp4dzzN0G21GUjDYEyU3r5_K1B8DC82umw6VBFMJA765j0mZ7jBiXqZQpXDyFI7VEJOuduzqDMejZuvQhc-eWCnBdVhXy2X-ng15z8gxwOmBcsVgF8CqhscrFrixW2XsgBE40VDwsDLEF2EM6ZDbc9El2P9-DlC40CylYyHNPZNlKet6AYJdJeYAcTCcLx9-CawKV9iChlN4iy0gHABuuiCdlb6FUpgejRwfl8KW_AoSvJLzyNNUgcg-Sn4PB_F675LF5fvc-ei0lhlSmo0Vkd7mOFbdGNz8zmLkIdituK98Mh61oDo6POn28JEJRGkw5XpoS-mWzmRvJZRO_MJspzfflhstNqSjeF6U2OTO2I7Z9bK65NaLup62DPahRy3fpxIPyrK2u7UuEjARdacWglpgqm5jIMHe1MYHmAELt9S72LbTygSVDW3BwV6hm4GhtoVw6H48GLsqlnXZEjbLhxa5XbiSpdxa-BWnEkzbWcUCekA&amp;type_route=efficient" xr:uid="{B3C710DE-C10F-4614-A07A-9981866FC2C4}"/>
    <hyperlink ref="G145" r:id="rId144" display="https://qualp.com.br?data=nD6UFB4PdHSfaCBAez6Tuizeibio9cnaBhLimBt3zcSNiz8V2IDgjk4Jnvh2bbt98BHzIFJJjWYX_1wjmbWT41EEFsm56Uek-UEZL4J0hm1Wa3lbprATIfZXhjxV2qR53w_Sc7vnoJCHBb0Z-2_JUA3MulHe7v5D1FdJE02GqGQEbk2apwP41534guvw-hzDblrYZBKeXi8nYVR7o53tiFrn0D5_oESXvWD6lgBF5a08HCh49-oPIdbFTjtE0_QnhiaKp2YWxO8sg9DPj3UPJa5EFtzCckkZBq4bUU1y8jkHlNQI2Smy1S35TJycCSLAP5oC6hp_W9GCY6GZ0Ikzm6thTOjcZcpk47zhv0Gp4tS7f6-Zyna5c2G5N9fzv3isDsGH6eJUd2srkyoa0APd954CFd7D4zKIwmy6eoXB4a5lTYtWE2MooY6vNkGHzyGmwQ0R0PvuBuGktn1Hv32kBLKlPUpklalQisM4JvtMQGnWMFRO7L_uU9ZOAXe-FANzNLXGfbgZqeHrIh5GUVIOe7UtDqA_89pipOOvLVtf14agErO9Kg&amp;type_route=efficient" xr:uid="{A5929C96-3D15-4DA0-AF42-30AFCC34D379}"/>
    <hyperlink ref="G146" r:id="rId145" display="https://qualp.com.br?data=4Nte4rUCuJAk4RFHwgxdnvFhvnKvuh9O-2aX_7Ttv5dkGxx220iJTYiEhaOwlbQkr3Yy938L6_3OMARtRGC4jAZnBGI0Q4JD731L6aO68-TpgEVSElZkqW5NdioBF8CQcFuzh-h0xyFfR7bJZ69dtiPSyuxEQLSJie81ySXpUnC1T89eM9_73ZfB6nFL1gA7iD_emj-n_KiHAYAafURt_qsDpObM_c3qLykOFhln0kxRMqPSkZd2iRbnJ88hqKjroYv4tWJGqXNRnUTYaTByt7nTdnQeF4kzHgA8xxo4GlBib8rLksfC8HKYu8_3pCKEVVaWzsUClAxiiEuLGq80Q5M8pTN1Rwe_S6hcUGPLbLFd90xAs-zvHxqO1iugxfN-D-irf6A4U65RIuJTgPW1MJ2tUhFODEnSwd0A-Xc2cZL5AUR6s4PvjT7WkWQ24827PqM_HmloguAEDu5KYDbeInNf1kdJ5NJtBVgAtBtrCKKMcB2Z350gmc4MTx-Q5Cfv6rZy7KEOO2RLNqqdiCc--MkIOeb3R3sokph7qWufnlQbwZs_6Q&amp;type_route=efficient" xr:uid="{BBC9EE3F-8666-4F3F-AC8E-2C37EF72679E}"/>
    <hyperlink ref="G147" r:id="rId146" display="https://qualp.com.br?data=niXRMS8G4aeLoC20K0dC1Q3bsMSt8X4mxg9ZcfylOX43wHk9P9FwgZ03dTxuGy4b0CZ_dVx_biSihZt_3KIumjMFLsBitYo-ZsrCLjVDk6r_q1erHG9ji0sFfdS_7RUWT5kaIaR7MPoih77V-NMteRVMjAQgiNKx1v9mXnUK-4xHE4Caoaq2qF2Lq-YHSYYojsfnbjE_0tGeW601pOI3wRbg2gy66mdHwUcAyYzr7NvuXY2XJYoDaogxWzPxKdHjaz9qMzTSGycKs7m-R-R61RUYAvl1qhJfROH3FIFbrP4uERb018o6rAIUVdrHzN0LJaujiG-CEQoWkn5mvNPWnQr5U6igNVsN8BsfnXS9Xaz0XikqoKCxYsydbJoD76VZUBthDSJlqE2CIHJfne-PYE-sC05d_MJqa23uKSJ381GgXPudW37Fbdg-fG4ZRCLO1WJvwcoySYEowhW2Mj3wxjLYgunrNUWkqHYvMcpABUJoQBdlonNVEx_fLLqnj5HcGJjnfCsG2ncFms021w1eo8KKnkZzm7Y85zPcuizJDd5UxCU&amp;type_route=efficient" xr:uid="{9B346D83-D525-4112-A80D-B34BF2C8BF1F}"/>
    <hyperlink ref="G148" r:id="rId147" display="https://qualp.com.br?data=IFxPxfHZc8ffeJnvh6ufMbcNB2A2Uwau6LM2GKHWYrxqeu0XH8kXZIu_ydw7RK2H_VYKBy-ccjlomwKFBdA9RHtwiWbCOOtOoWKZG9shjKTqeL9IxAt1pafFo1iTqiPN4HGSPB8b1jeaS546rLZJxMGRTAHQBrvjTp96amMZucEwpie8hV6ssFDl50MOdcR2AlHOHbfpdTFfrxcYs5Qlp2blh730ffwRoPcu9TlCa1bCOBuS3Tvlj5cj0jYMpb0Yba8YWBgAyV4GaqZJF75FKqnvB_X2WbZ4GrZFjo2W8lusK6TOv5p8i5pUJ9Q12JqkHqH4kSK-45p9neblFDl4kh6lM5U5pKfz1qYqruVhbjpLQk2lfo5S8_rvDNDrykOvJ0pi4F3oT01sEFLoKFZltLpwxdHjYw-xOLMdiqh52R-b-qkwOVxVn7qXtvOiYKJyZwVkoqhrTPjEaMPp-JbwgKwqm1NOKD3IsLvcjw6AO6srpVTR-zq7mB3sj5RN1DaEexOmR4m3WahIrlx0fSEGG4BGZKfx4dLUJMx9yyAqpFycWypo&amp;type_route=efficient" xr:uid="{EFAD2DD3-4FEB-400B-999A-C7F47F4A52AE}"/>
    <hyperlink ref="G8" r:id="rId148" display="https://qualp.com.br?data=7ho5XL6jggDtRuGA0wLT4o6-cuxVjW9ELZe5U6UcnTNhUcB-cbAFYM32gcPxkzsIW-i_EAqtrKyEdo8I6EInzEWUXXDR-f3CyC38XMJsterPj858gHZmCZwalNoq5sifz_yCHXDaepD2G63qTMvADgqairqYfLa62HR1zwa2IRaNp01EYUmKUBCmAxyXBfxnAJdCQgCSV_L9e33hSragSbRbdjC8ktnwDOPEvgg0U8jkL5AEexrF_WWjepCn1FoQDvVwtYp3jxMDFUXycqw4JWIO9mAg7ZODJdadCwkcsQzOof1fu0zaJfuO9M9z4qzAbz62xtDOUSnIqWTdcmlvzM8PW95lG-yYXbDLb1HsyPmkklYVboYp-6fwJClAMyQLWlKODai1rO_gjmPlXtdOmhdJpvRsBu8Edekse6xuhFRLLKmtLWRKqSaGttC0t7SCrte8c5FZeI5LRLcVQ8oG5JSdGIvhLSeim8mhuruUda-_ait0F7cOLpDBtJb89e9Ms9LSYokqG8pZ-5O62_tt-Wr728J2kCiht0qJO4MDSbBE&amp;type_route=efficient" xr:uid="{315BB8A3-E9E5-481E-9E25-4E570B345E30}"/>
    <hyperlink ref="G150" r:id="rId149" display="https://qualp.com.br?data=3EsUJ_4Lgn_fjt_fziHnkMMIZyBpn2lc-OtbhYzm3yyRY7mzpRwlOaog20DvSpBO_GanuBKC8lWyVbRmKH8V7h6tRjfyPy3BMNbJhw5OqZZtv23zWShUG5_VcqkeWIZL-N_5ZE8GuXHkRHdVEsEhRNwYpwS0Luu_sO6_JPKLl5-1hrrvmOTZcpOXxoOXAPwTIVK9kIZw5_SX0EHVYtXWdANAdbXZkQcQDkUB6dtrxCDHvl1RbsXiWNGfOvoXWCPftrBaXLQGtiI8u3zLLKm_LP9rU4wQ3ygXDgy6MF7q0WIAr1-_0cO9lUjhJNswjZBYi36OYHFssHOEe_VlMChdq2ZecUbf09UIoITFckHqhNFAzrkr00bd178j0Qm2g8N1Sxmz1K1GeHD2eRfjF8WRlPud6986napZlHZ_VqKZh27sM5gVy0E2_1wcr-SoEifFeKL9CfnzZonaex7VpRIUZBnWH_6BuMrwhUvDNRYsZI5eCaaxsnTBiWmZ5IqXoa-QD7bkdEnnswnmMAlcK1VWCyc_ARSHP1sEpe2VBIErM6TxLGeY6vA&amp;type_route=efficient" xr:uid="{AEB49CE5-4F68-469E-94C7-A769E95AED50}"/>
    <hyperlink ref="G151" r:id="rId150" display="https://qualp.com.br?data=9jCfRS1OKnmwFtPVcES67HZD3all38Bsnf8fmoKepSypatMP3VIxhucqc0Q_7pq77KH0rpdbSInDH8TmbZvBxd8qOSuwS2b4qOx35VkzPBaagwrh5Glo5ZGLaQW-C70YV9mHc2AZccDfLTC4zbCLOVo3qjboa8G5g6kW3qdDzv48UaJHvp4wYo2pqAPRp7MD5TKSose_pYC44accYzoa_z4Uy-0IEngqowvU85MYBzWG_cmwdmvF5Q6rsObuliLxG7iYQGT5rYYpC9WvHJCPM0k31NUpixtrO8XtvgXIPyf_kpJCmtB27dRPQ7X9JA4ZfeN9EbiA1ZBZ0ZLv5gsOZaG--dBhTKaUFl80ufOOw3Q_kefffi7g9MnSwiupSIZlGhopdEiRIkfrUJP5mi0Tx-Wwe1i9LvttVl-dCrMR5U4ca9EH7qyznP4Xsd69VKBj1zGB7ImVLsczMzeyK6-i2_ZlU9yIZF91huaIgWCIbRc4jlcSEu52JVYQt4gV6tMUMmMh7AVB8mTRr4rVJUltK6_8TsVBJ1wPnrfh-Br-YygnLcLixEgkrScOYw&amp;type_route=efficient" xr:uid="{88CA99E3-A20C-44D5-9FA9-EFA42ED0C947}"/>
    <hyperlink ref="G152" r:id="rId151" display="https://qualp.com.br?data=1fVvUZl4WK7gF1ydm6wGFpOnVYZ0BSlHzcmNQ5BeeBNxhwP6Wfa-khrazz9V-W6u29STa3HcKJaA_PNHtQD2MV4BMfsooYmJrDAL4K69q55kVd5xp4EuEip1jWsN5nQuDP5dMbJMBiCt7YXnAg5zfJwmsxJYpaDujJQnvzN7Eq7E3knnABUFTYmyW6EKqxrXVsz_F401IO08F-5oBextPzoaPU9rtEVidxEFrVWWr3sruu_GFwHjXBNqy__OxOhB3At8qgMU0cYIq1hilZ3Hc-A8BzW67B3GjJWb0U4POh8YukO8woam95Dogp88NzJfOgYvmtkKH11HZANGoG-SQoBAUT8NAihFv_xF8FGIPgccrsBG-W3J2BJYqEdKl8yiv89Wpal7qhPPtY8F97_dvoXAIZKZdKGJWN1mykPJs0oIk-RBgczO-TEAB29RU5CK0GLeERD-rX5binjiXy9RcM1pYLlYtjrVHSsk3STPC1aGgNuqEDKObKAwEme8To5XC73qa78KCPLMjbCaGiEO8dir1lHoZ5k8V2awWrxwTDwCCmJUWLT-Hf5E8A&amp;type_route=efficient" xr:uid="{51B2698A-DB6F-47AB-B450-0D911D3F946E}"/>
    <hyperlink ref="G153" r:id="rId152" display="https://qualp.com.br?data=_l5Xa-ZjNB9eXNcAZ228lO3nCO-PHfoMPdolgfzQzJ6z3qYMXzh89gK6iJeAk9_ljSwtjV-AoiHbS_2xCBwttpGOeL6-jeGSGO3iJrSFQQDTvXE61TPLWvTO432Y1aIABesTmmnzb2Tvv5vRcE2p1nweBlziaA99ds5qdDH6n6W2B_YCD5JYHJsOOPdU8LM4M-tv6pVs_843LEXzlTSbUTZcdMRI1Jf_uaDYbLY9Y1g-WM1dgOzhRzXki0byeM5fdCAKTSi8MDcIBWpMgZPO4c3nFdXvoYtp_lzMFVcKS3OzYXxinxojk2ucWUSEYDBy-8hDWWEs9lK_ZRAcYwLZkEkECMox0EtZW0CntMr9c9PZhYyZ6Y2dDXK4fYv6QF5IYHeMM4izVacgd4jEstSJvVqQGY5VVWKb3QwQwHZ_d6dLQt84OdmLrkHWDtwPirMI572umMuBruv3k8f7mNQq_m5O7JqsfqLncU2yCs9O0iW9Ndf59hpPdYkRII1X_s9RBTxM5C3RfxXkH8C03UwRdJpkpT9iZXpoUKyrUR1mX20QVxHp&amp;type_route=efficient" xr:uid="{87A3CD82-C511-43AF-8695-0A9B2BA3DCB6}"/>
    <hyperlink ref="G154" r:id="rId153" display="https://qualp.com.br?data=Yif6968FRp3ar4w-47aj1QZ6e1R2LTCJHvFVZc3SIXcOoXDpgex-gtocS6xMFNLts_BBGf3-iMejk5IYt8prLaH3WfhTAjizL1Nz1oTYo_Y0HSEPaNfy9kl_NaPahzwSMdA_-ctgqzCrjmIKP4q7pHOH2RE_79iH-vyPl9g82Ru-67JyqMzjcC1nFMuqwTX8H9eMsfTY07U3O9smeuvDHUhKRiHT88wYl5yTUlPxX04sVZZkItLo7raQzPrAqw37CXQqhItRkeCjLUKX07OnEYfBtTkyGByspYg5ANaT-MQI-YjZv_3PEIxjT1wZjUIq0QZtwKFxr5c3l8dC5dMr7XkJpbTGl7ePVPSEN-yWlnCWRKbJ2gTmuqikpe9rJScHr_SXZPkUW_mv9ZjLHMMz8HoUzkp9QBGp0E8QiY3SCC1N18yEOUDYR2KyYi0HCFsyT_3BZTKGxGje6xVSdPeokEawBaqVWZyRQbRWW6gPZlUblQMeiiUgNoxG-SYlf3EdY6T9t3qh2wjUWsG5150iH4FaOS2g99DpUKpeb3HvuG3A0FME&amp;type_route=efficient" xr:uid="{05A7B1B9-F6C3-470B-AFEE-B4C2C49CF9DF}"/>
    <hyperlink ref="G155" r:id="rId154" display="https://qualp.com.br?data=RvPV90kcRFT4Rrnc2Y-NtaQRZ9GJS-3-8xOJYBVH_SOzabJ5OEk785xDXnGxT80Vx3GXMPYq9E45RaXO1It8qd5ZTnrvZegMDGhnzXSrD614L4gQuaG8BWbnL7G7Yc8ZUwfj2AO3_zkqHiVEQQegoP-Y9JeWbq3aWa6hZSfUYibOKniMRUO7WcY5fA3vIwPLxXsSFCkQ3l8rJeDTG7aBFkqajVyL5k95IGuJuVAZOJ46DKi5S411pvIS5A3BhqWOkCDcBQMvYqEV0imNgtbFFoaM1d7kzbWhwisNaR9kIYVfTwsjESjhiuuO0G4TQtjZ0SZlRwO7SsuOGssJxtzROcA3ZtBNtQENxwp83oKB221oGdmBhZISb9XxwFJCh1iTxbDNC23ynsEzsWPUNbUPGKigq4asskCOTTrlkamNn2MF_WhHjAvk8V8TcfYPzQ18ZGGWkcmJPZpKMsAbAIsg6syTwLbsUHdHsARk812cjSnImu7lbRUzfF2wtCN5WIvjbw-w6isJlOUu8H5X-MaIwvXVmlGYDfIohQsKNZ_qRFwP3Kg62lSF&amp;type_route=efficient" xr:uid="{192EACFF-97F4-4DB9-99C9-D9EC79BA6741}"/>
    <hyperlink ref="G156" r:id="rId155" display="https://qualp.com.br?data=HphWrXOePARzUNKCRXo5cRriRCJoZ6m9AkVwi-O5A7fWtmf7yuKSsEjZaMcd5nf08kyWocjJTzENWL_GP1tukAutmzb59p_Rp8rYFlUfMGVWq0XI3ijYp2DvB3pgxq4qUDlQ1b2p4SCB9q4fOPbXe5Akt1-D_7IHeiYzr2ieTMraT4Vh5dLDDJvH58xmXLj-vsZ4Fy7JN88OIGiMK-i3vZysxrdaCgr39xX5Ji5PdKmR_ySHPee3_2SoNuM1c4QrGRe6swfiROjtHv6C6Bplh5RGf3fsT4CoJtOVD7n-agP0edta6cTv-1swu01apkMXPi1xbjQ8ldRc1ADNIZrKoVXo2mVf-emnru7n0r_ciWeHlCQHRuhv08nEgf_sDOWLzTeNcfVIU986V44SOSTHCTgzZAq8sdiJiebdaql9B_pI7jW_eSVXNIHFBLYMdPEnrVkR3aFaesN5MEyuUJIwm_HvZC68TQKAyYtM1HWB6AFQYYSykAwVmfkM8ju40CWg0TFUOzPkdLcrSDKLIF4N9k4vqGogLZg2-Xa98d0N13Y&amp;type_route=efficient" xr:uid="{43EB1F3C-7DF6-4C29-8E3B-9D14D43B1A95}"/>
    <hyperlink ref="G157" r:id="rId156" display="https://qualp.com.br?data=J3T0WtNqqGpj64y6SBD3FDeZ7SzKVgjKYlSU-JadrKfrl6ACksicTU08Qq2JmhIfjvKe7vXr4Uv354rBUHbHj5IHyW9dbcLP9h9BgxIOjMuYuxq7tLrin_8awLofxBRdSLzMqBGihgxnvRTqytXPwM5-fxTqV443SqJOtLhCDRR94ui_YJigOklIxZTJvZcz0Q4PLCzXLpFILItHmvYh9TmbVndZwkeXB7QAHL07IsZlnj3I15KqmaAiQ9u5hE2UbUOQ56bXpNwzeLV5uC9GkPhDx-T_NnBijb8t79WEplYVRlPdy2Q9NbE52ELmMkeI0y9t2ptKtsKCAnOT9IK3HNciUywQ80fPoBRm5wB9ROioc20nSFT9bTsuopVeNjVbDEKqZ3YLp27IOXxcNaVax28VSW0_3BF-MeIy_4zfqt7A8x8eL1TwrpdngNKMy3Njz0VyQsuopHFq-p_61RVTVU9T9m_JzUg4AgWjMbfzi1qZubP7_ICkRMH5yVAS4t-jYQDGVrwsKc_ZfEcudNKzQxgrhUH5TxBvlyT5QuDRfxJQTkTM&amp;type_route=efficient" xr:uid="{59CE597D-EC94-430F-9C0C-E3338B5C63C7}"/>
    <hyperlink ref="G158" r:id="rId157" display="https://qualp.com.br?data=2JaTMR51gdeGADDDYP7y2jeuZD43X7Lt4q8gmO9Fyh1K53LpThniV0ZkwdylSTEFEcAGdpebdQ1BZyDTGs7SBbmlGs66a6BY_pUbe9QCV2tZEWaLMzd12A5ZVG5pzd2Ik-gReqP5gNWvKy5SSINjx-liDQ5VwqwiXRWiWf_jYMMkpSgbfurW_xxjo46fF93ejqKy8hx4LV_uG3pR_syOC5x7FRARIEIcChFNqYolO2zvb2YyR1NAR9jEdKywulbtNvjyyaFC4MoLZ2Iz5EfW-n9Hrz4AboM3HkLppBwp0vDl0aTA_DpYl1YllWO1IQJ5tSNm3qalftsCD6OYFRb270KuMXOYDsble9Vv-muKnQBzgKxdjBnSeXvGVls6tGyt9w2woSO8UWrotE_mby43X2t_OZzPFZRr9bH8_Cs9fuN6aQGg2pr7LM2q_Zk7t4uiptx8kEKDtc1_X11FP1IMaQZeJAQgiHwB8xvJfrwOkjdN6_yb5cqcvvvGF93zoVldtV5nFBrzNT3sLMrWI2h41VQwIFFH8MTqPTI8AAAml3jRhEdQtsdq&amp;type_route=efficient" xr:uid="{533D6685-3C8C-4504-AD39-2B9317AE0FAE}"/>
    <hyperlink ref="G159" r:id="rId158" display="https://qualp.com.br?data=tAmXNcxRiqG7qWvkaxv5kvcLHh-h8DbNi1iMHQhvryYVswl7WS4b_x_UlrxB88U4uIOUGbdZPnYo9iuwZrfmrdDLRgouO_45LwqNoyEC5TSY2GfTgssamxCV4g6wSU7m0TIiKOyduG0lLK-1Sgz_B4MfTwpRiWGpsZxEZWCkx_BcX-MgHNV1k6PfuO02v_cPKCP_cif-R3Kc0owHOUmgQc4lkXaZE4i9Uj4q0EclO8JsV0zYHL-LmGykfPeYMTXz0ZGQDhVlFnPozoSr4bSCNv5StrIOSnLWa9mzPWleLZC0uDw9s5Cr27R99yOYHbUCMG-ARxGs815BuT1NRHEmSpGBGWDsJ9GXmeaJGAp3Bv3R1qu-TsYmUmvmPUoB_cb5V0HQN1CDZ5NQ-9Lb8wvXYjG4Y9r1Aq8O9p_Ml1_9r5cBu_J3dZ5_RHXx-Idl0X7JXEakzEq6ah0qRm0ORa6knhf0xkDqPnxObcleAEuIrmdfAcK8lfjUy6ZasCRhaRD22cnEcR2BSP9eB3EacMlKRfW07VDD5KScftThulDq0A68n77RJV_lWw&amp;type_route=efficient" xr:uid="{51517C8B-1611-43BA-B2C4-05963BE85C9A}"/>
    <hyperlink ref="G160" r:id="rId159" display="https://qualp.com.br?data=5OG8j7J1-CRIqNUKYvDlibiBXg6DXEa-63M5xxO-b2as55CnXW6YQrMA_iUJ3w79j601zXDg7cxJCLxzG8576OCWGUJMvXzp8LpaX0G8Qncq6Mg8GNcDXPVlPMs0DVDwAijCMa9bcpQ9LlJhIMh3JxvzMWLkJ2keGj7g3TiEPUrQnQeuBQ462zod4myXJoCKXOelVbaWUEeRXmkVAZoabeWyHT8Cu2Ql0f49HxyQHxZEelBIKhhIVVnlTSRX5ZVTaQeOYJGdzzPyYU5s7ayOH5R64ZPpvB0GaPRRAUjwxvZ2b6CoK6_IkP88FCfJMqCFbchZC05GS_h37N_16RJ3xU28_vxT1Nl1GtBlo2Ma4XgUbst44esIG_L9rGbU5AN4UUA6GSVB-K-wEDSldBKmJFrt9kjt76KncY0jeDgd_dNrfn1frUKkD6p8SLNYFHaHNWIGPL9ynN50VcBspex0pLRw-Ai9Rvt8ECLwh89zOgSUUqs7OmulUWg_bfxvk7QZ6fqgNoXxvOkrz2InSbtE7IFXZucBzDJcNlMEvO8JNwkU&amp;type_route=efficient" xr:uid="{616FD72C-F032-4CAC-8437-40F30406DC33}"/>
    <hyperlink ref="G161" r:id="rId160" display="https://qualp.com.br?data=EecRhzz9lVjQRWSbA0DnotuMj_4d3JnA4j_g_mV5PMwnr-MQ7OpIJh1P1awBar8re9Qz_Cd-DbYr8cADnlUvGr9zhHwdkUZlUOn7AG_9tDvD1QQzNjGu7ZuAZxaM_Lj7T_skCaf3V92_QxFbUcclg1hyka1-eqFYHvoNzi-rSVziVRlGOXtq7SrvAfHLaqlPGYVXu1UTLNBAq075plXn8S5apaHFwvx2a_pSmCo3INgbSoGeUo6GiRS4IYFrPrnFGMPxEPYD3xqEuyI5wQfJkB_BJHprJ4NDb7e0TcZyigB-otROL91gG95ahrt4GiZSvFUIGQwClmkLlpZjc5PLp3hPyeXjqQNjCjTF0oBuIkafaD7EHuXbmvUSKuN5alQXNHTYMLN7Y5K_Vr7rNk2KfpFqjX7Dyo3A_9V_xiiHZa5_jhH-aIAQDN2zq2x86kaJFTEGYpW4WFBemm8xoaUJqArWQ0XoDfQ8G1uBGCEDLXMabNFhF6xuuwPqwwkF3VdjSfBcuI_lQcGIwoXhQHkhOLoMN3-ZM8q7Qr2iSsx7ikwRtbdOyYtvRkx5&amp;type_route=efficient" xr:uid="{00D212A6-B3EF-451B-BEC5-F03F26905389}"/>
    <hyperlink ref="G162" r:id="rId161" display="https://qualp.com.br?data=FeNi_nCHaTvGjcibbFB8_KQ-rfj4uGBSjJZFy3R-YPFoFad6N5x25JCRN-ecqIhN8h5wV-RUUfzVnv1wav5CGeKvT0M04PbRldj4IRTsT11qU6jy8ioQAT2uM5757fGgyZaWoTu0jaC9QlZT8f1B_YI85y2p1yFc4oSLs0bA4bjkKLlMJ_8MyPD-TyLJjtZDeSnH-Bhu8h_CM9flu3D6UcTd30gz740ldnwGo6SwXzD67Jp8UGpVri7GcDr4dXLBugeE6AvMCyZr_tOQANLLmaa2seVRAeIFtAacOzq9Ikbpoqp1KGeczOD-A1ShjwnJLApuxYArdMS9JN7JegBg_n0z2y78gmm3P0r_PncCujCnvwQ9Jk1CUjifShPqhSqBQH7P71Rhc-uaU3iyp9xPVUNHlsGfxOkYrz_mQloNyHWYnOn-1DpgwrlDGg_LEukmhZPRd2QgGwmP5E9GQNvbt3X5Q_IRxvWsKab_kzbxclhDZ18tmL6PSkd-QpbQ-Sz0TJSlnNediWvkG9DcIpT1gPEs73iRfLoR96PnIBjoFE46W5X_1B0y&amp;type_route=efficient" xr:uid="{210B8B9E-C3E4-46E3-A6DA-11BF3EFCE2C0}"/>
    <hyperlink ref="G163" r:id="rId162" display="https://qualp.com.br?data=eEZ871GhZtvqHl2ghTlPKnlBJiDJLMicgjwgWASDcmdbMd5uDQl2WT_R-nZKVLnR_FBcNz2bUTPWxrtSI4NqDqmTl2CKrKeoctYpphldsJAVt2XezJDQl0UP571Ct58tQfq67aI8128yGIQUxufc3SYwvD-JFrT1hEEVAZaetBZXJYzYq2cUHS7oe31zAL9_L2Xbn9x_vhLoeL99ZJxuDOrYNI-gt0pVKYOhUr1cjyglLZCSBdRoSd_oL91gYwDgEvwdxPJUfVjJI1J9IFtEOciLzBXu0MAGvuR1NmNUy0xoMjE5hxjm5tUpss5FOKx2SC6Oe8DWCqubZ-iLRK6XbJrURU65SfQSfn73bBzD68X5KJmsqWsXxtl55bTWSahTf3fX6n_ioOLi3TMWTopcZU8FNBgMmKgeS8mbzYKp5yV3jfVAqOeVBwXTuz_vB1ffDnmj54OkdSrAIcIUqoHtE1TXSqPi0Kmvj_wHZP7vJuQRDocS67C9qfPnRzJeE9IBEfSLVz1d9QlO-BWhT0X0iXZiGOAHb11e5VRclOrY8Bvw37I&amp;type_route=efficient" xr:uid="{0B15794A-ED33-4DDD-BFE8-FB3AFBB081DF}"/>
    <hyperlink ref="G164" r:id="rId163" display="https://qualp.com.br?data=eX9_qqJHzjiZBOr6DZK-C7uUdcTk8vWuS2nLpRAPsVVu8usffWsRetE48bq0QXbF8grc3V4-aliv7DPi4pv8-Ihb7DQt7tVxb4z8m_GH48VU6ASlqr4FBV7flCRLcVkU0fTPhCYz7TI6wcI9j4gfWcl2IuU4JAmScbgeU3l6GlzVkvXaiZrGKjf5OAnpKPOHiRsvtgHKiwGi3ZmRrBt0DC0kHABa7g78in96NR-HYgdQL7B-RvLAJ1tU9OY5O-Hjhulz3_v2N145SfIZGnP2UCWXHNTznZP4Xj5ADoXQ2FzlAfkIr_iqfXdeiLmp3-5jxCmWt-I1uilCLu7SigRTBwNqm9DQtlM4PZWrhf3mSDY_7zaM8ALKaLjrTBVDH2HJbCNLJVn7Gxr7URoR2QKBCFHO0k0d2TTjnRd_ORXCCw7_MHzGHI6RYp-RzSs0ciNlqiOJYuA752nTIYQwKI3h95Zlitfa9uQosQ37PH2d9tURyslXM7c0GpO15Q2K3AR18vDyNlj7Oirdp83lcwCfmuV55BPqO0BvXDu9JtP7W5ajM5xF9tW3tDmkzw&amp;type_route=efficient" xr:uid="{E5235B4F-AEFF-4E80-B6BB-A99D6FB9612E}"/>
    <hyperlink ref="G165" r:id="rId164" display="https://qualp.com.br?data=Kpty0yh9n1qmG344QGPckzN-Myd2ZXQCNZg51jZm1Vnl43EdQ-EHcK-_f67Cd9pnoVqLVjhUX-VYOiV5g1vCCZapJuBzzHd7ORuKhIjsfjQKPCBg30iP66F--AkEtr8OQ7zO0_mazWehkmC65AC6LmM1N-Hs4eGVrMJ7NxXkZsJN_69qX6LdjHlWI2k71ZYPPF1pfIypiTQAxLjjyRM83hEwtSD3mm1HMPrmYxe0Z9lNVyt7O2U0cbSg0dksyD2f8DdymRk1ZkIkJRThmjkDv4y_v2kt_tGI3g5lgzJpUs1kEU6uWC9TH9wW1rR_lLxHhlYYBqoIfVRads5JkzVoYkIzlJEijKFMWn40_89_-bupAx1pM_rCwMn9ChwsgmY1jYBvaPZRh0bJVPi-vIIRWTA-MK8_4lISyesJ1UmHDB-T8tL1GUso4Hose-8dO_r-rlbyKZJcFagAe69WISWaGQphyzpXjfpCDIxClZ4ZJmf5f-dqmpLorPTrxPyEn4qvHSau4PIj7Ra4-gh3s3v53yzj4Mv2ftzUQiopjOONGrD--jq4&amp;type_route=efficient" xr:uid="{BC32478F-C982-4B91-A9F1-D1B523B185D1}"/>
    <hyperlink ref="G166" r:id="rId165" display="https://qualp.com.br?data=VohO_lW2Vs5fDzmOH0_FmOIainNp5GtPLh7vvGkEFr0RnZBwZWzKlXHFAtff3jSuBjXCM_OuL4VuV-MpiKFb9Ik0YqAUitfdG1gXL60--Ml4Ba6wdUUW2fbto8BYUgmQtzmtIObtiebnwzIrO0A_i0ebyQzG6ET-yz6t94d6D1UxcmW7q-Nhv1kRrcYTheXu6jnlvi2LMyboQeTKum2_agslS80-mbrejba31omuhsE9NR1f4PhF2DeiFszh5KHenovgpd8eWIe6sRI7nBZp5V1zFhrHOd6J0oJ0cJsmKoIBg60XdSghK9qgPBRT-m0MZtorwfyRpRup4FYZKcmIKJz9v1HJ5hF5Hfu6YfFBN7UQR0PG9sQeUMeSPj-GPccSx3dC2nDmYRN65eaQRBsWv99fPfefQmmOHQ-eaCskC_GEyXBHQfJtKy9FnqsWMHYmR59NPrg9Z-e23PZEVh1Hu09Png6uSRVgRFnN5qrJLXONzYhhjNFogMy8qA6OgcXcq61ylp5WC3BfSiwLu9vVFE1KXphjTvX-CHYba4_A6jzCmkjeaw&amp;type_route=efficient" xr:uid="{4B6D4B89-1AAD-486E-BAE3-DEE8A1F7E00B}"/>
    <hyperlink ref="G167" r:id="rId166" display="https://qualp.com.br?data=8X-4pRvnaoYZ4WHfyhFURtWoPEBedT80srMkcZF4m2BU8zA87CAgn_hwoMxU_vhc3Dyn8gQrsl9doQlc1oSAriMWIgwm08kAdgUK0JVSBRk_dC0FFwqEWf7QOEROFwnkluHHCVS3lNSMoRyFUI86xdQkaMKWnS9ozEjWsF052sauUXsexZhmnRvNiFTl7G1qqPj49XZ47Y2nFFkj2yg0wPqiZvGw7QwW2VNmy7FQ123m9XL77-2q8AQYIhuX1ba1k-QT3g0Iv6f96Pp2pBpi7hh-XUaNCH6Zn3uzLTDb1758hokt0s3qbrlKWfzVnBT0jeRcv3X9bkIo0S-Z8KDSvBF2MGs_oagWmyQj6OQQf79FgrX0dI00e9GPRn2NOqScV3VM8qt3Gm_hN7dkkoIx60D5iMCUGVHSrisV2x0B1rg6lIk4I1NS-uRXSyBz5IcjLaSNgTrmSEESzhCmLif7Fcmv5jwYoKcA6ecNEuibOVF8JWzjuVZTzcq3m1eIrqh5kfa8tlwg64rqLmNtRGE2zvNDHaqL68l7SHKrT9SfbR245oY&amp;type_route=efficient" xr:uid="{142689D7-0080-45A0-B3F7-98BAF125ED7A}"/>
    <hyperlink ref="G168" r:id="rId167" display="https://qualp.com.br?data=Co6Mw6ISrq3ivezGGy7tu0L5W3Yur7epuOAzWoZE1khJkkxFstvVcwRuu0rgAFbmLAdACNpUJ9ZgO1c5BC56NU3IlLEZve6tmpUvO20oZOHJ_-ZZya8XFQhPr8OtSkRm9U3b7MPk6YDPw5vqcnuZ9Rc6wAqvr4vI4Pqx7O5sYlMESXJC-JJbdzC6-MfG3TuCGdlKqYx09aQyodU4d0ssNj3ue0a5yHl0Zf6TLR0eyjlMyxuLrsNJy5OXj-KP3DDSWus9EKG4eGbxt09dX5a_QV6vHLIVMgbObkGutxc9kOULspAYTgRVSe6FbPoQiO3tN2fObj4Xcxiwp8Qx2fkthwExwYUxvsGvfyL5I4zE795lchuDB4agYhcboCAVcoph2RK156cJi9KdF4UGE_vsoTu2-wnbp6-18R9-38bdkZv6_S0X7pGftAGkx1e5Pu_UUsEOPE2io0jG5vgK1C5lMbxdJDoY4glZsg_zYEPGGTxPRD5I4xS6xCbQq1dM7nvmwJaThGcbgcF412gE9eFcA1L9lSr12KA4ii_DT9pb78yjVZo41k13GQS8&amp;type_route=efficient" xr:uid="{7CFDD77D-DE03-4E7C-AB8C-35CA037FB067}"/>
    <hyperlink ref="G169" r:id="rId168" display="https://qualp.com.br?data=0TTrpz28bmO-PZFnI3c_Y9zsITgM2vs_gIHfM4O5eOQmCpnlMj-ur_LIArq7ZTQm1wgydD59s8860fPFgZwnf-IPiEDwM8kaW6f8eUwl59TVeqBL6HDYz_u4q4Zx9EgJnnJtioFFcNpiMbjz8vqgw7YJ5pKpO-SBkMff1cWt8H3_lMuFmfSnejlLidhEg-hWVSmJbcl7MYBtFWyveukIruQfxmpwFH71fjgzzN4Fk0ziYdVUVcO3yWgsYIzmYhuRwqF5V9e_maC6Vqf418_SZa6IABGy1b-nKcaeFWLHtB6zPbTrbUpQKu-VHt-GlTH1US-Vzd-Ps5EzXRrtgE7oOZuNOrIp1MJvs-0FWw9gsSjKAR8P7e7cc9hjs-gRAzAzWqDJK5tIcZAtDIjELqNqkoKyNfxy4tOFib4p2pC0DUcXKN8ClS53ydYsTCLiB8Ii_Td1WkiqkQRKtW8H1aIwhuZEI4HLYoz0YrmW0-FxDKroplJOXIrKET65XD8qbEsl0Zpi6DJ_UVPBudnZJmGsPyJ68iz_dWPTUswoB7kHPtpiejElDY-itg&amp;type_route=efficient" xr:uid="{339C6813-EAC4-4F44-9213-FDA685689728}"/>
    <hyperlink ref="G170" r:id="rId169" display="https://qualp.com.br?data=VaiG72-vl4bWveObe4d0FlaQEGMv1Y9fO8Sk9HqxGzi83Y-T3GS_HUh6rRO9hTYv_Q71mzEccR1HKIV_qvLkt6MQJeWZZfOAQ4BWUAtNRovnDLymP32p-OxgD5FIHryA-9IGpwHAiVIG88WhtoKJ4s30zLTo-yt9LthClAXpFsNaO4JnYoZXZe0lm1gzm-vtDZNHsbmPmg7srz1ZMj17wybciU8cL0rdYA09obNMVFPM_d0pqj4W-f7qIEBQmDriKK5ZqktEHcRWFeLKy4_LYK8cLIxIBKSs9nIeCgctN-UCD0DVspbWHPu6ovfwyIty7d6MtM4osdO_PlWa1o1V6zCcqSOaTf8fdrXc9X_kD-hYEU8hOiZ08RadYs4xcsujJ6qhA3CYN6Y1vTqrQDCK_m-Gbw-BFALnobj3GU4lYkhgoG0T1T00bMw60eMNaTBbs1f-YjiYl7IqYpqfB25GgXOzDfoWFrqA1Of2-Eoc_e21a_gJ5FAn-r7xxhzU_3gYlN1_7OUa641XAPb0k15wEgiaD07WFzyecijEA8vnKq0-oJkLwYmnGcquhA&amp;type_route=efficient" xr:uid="{1B3FCFB7-7B61-48F2-8671-0C8A4D99C335}"/>
    <hyperlink ref="G171" r:id="rId170" display="https://qualp.com.br?data=XXyJud9ylhJzjDZHsvWYdX0h9WltIIwDAtdgmkd6gJpOxChrjMiXZ0mPd4MD_t_74t8jHvseyrDN_zJ1_6dQpsw8SpZ3xdB0mim30r0Hz5qixPLqOt_g3zEGUfXcXdkHt85Wvh73Bc8Y8xb9w4iy47blZNTvC5oigQGkSXS2go_Bojx9vspBFdzHTsuGAM6B4whCwQXNt8bt9i_28oLS6A2rzdd_PA4ioWQ99jG4FXjllm_IrLClLRfKEoL93oWvnKRSTpV1AsL95U7Cf2sdE9H8eW2oyR20xYyOmjIMdKwC1l0TDeFa5IqbAm3XUO72pKawG3mn7VXfh6ArWidT7HDfLoO-YQG_mF_f4dYrtxUM43v4oPyE8bYrgC4WsywoauiYxxHJOe0BdEDMFowr4Kqd58jNxSxAitMYYlPLFjo0DW8DBtJvCwAuHDM0QbQzrW_62EME3R9aBNTlG8uaI-4mF_pdMQJvVxXj9yUfFy06HbvCxY7KEWnK3s1CKtKq_dw7Nsur4otW8VrjapiC-VFzdQS7DEZKf0IV6ubG1o9zGQ&amp;type_route=efficient" xr:uid="{BC12D259-2476-48E7-92B0-A800BD21E650}"/>
    <hyperlink ref="G172" r:id="rId171" display="https://qualp.com.br?data=sdgSBhN57uXQR5Wzlj8xEIktysidgD9ZYPsk39YpxKemIrXL7H7p7dbs1nIt_c2ZE7v3oewUebbHfUBcYaYhin1hczerpG7cCVg75704yYkHLEfV4dl5_1xS6f1__IdQI7b8DqO93UIby7le1ir5NvLz2YBKDDUDngrLEwGeKYk-CvpskQFTAkKnUVLKKnhVQBq5vr2bJJcKmo1g-G8wb2dUZq7Km5JQrPGTzO_sGcODpX4phVvlXockWc8osGmjkSKn8gH9XkCmkBc2qG4LJuwZ8kve4Ux7hk_fsTqE8f7S4bmKXcZwM8Yug3UIRHoYvMX4HlxyKzZLulBFJbeoM5Q84pT5vURH6HNhYhbTnL4ydTpM6JQGXhLNWS9MbVHygd8FHbKFZe7L54wdmesR4_tJyavgoiqzUP8Ex3uOuI6_tDKR-cqzqYYtEX4QRhkWdP7Mrr08J2ljfWB46Sh9lk7l48CKHZ5o8T5NkGg8ql7Cgfy6QJuK0qnItI5O8hwlFQX3gCyyTPLUI8t0dH0pz740_rKovz_J76j6GFfE7L9hFGLcq1HaL662&amp;type_route=efficient" xr:uid="{B5B96462-9256-4A28-9065-D75E384F458A}"/>
    <hyperlink ref="G28" r:id="rId172" display="https://qualp.com.br?data=PjA6S0jSsKtxlRAR-HdPcNwZs5IVyCTz44m69uIBxUOxRiw7wvvbsqFSSbHr3tPAqup0pFndr4UB-qAoZFKiJS-QRw38JCJEs7R3Tlw2W0oIGwT71N9KVoe9RemItEZXrPrqDmDA8t_kUH7pl1UMAUF00SV3dVFmEeB1g79Ki2CGeDSK04BpxtBwmpjuVU060fjR1hjwpAFoni9hSAxKX58WT7sSKIoPPTJa_Q2FeW_bC-GtyHOBjabClGhBpdAq6qs8JTLDaqd_eDsQcD4ncYu0e0Coex0ON4Y9WJUgfD7rEBByqk_7Ult7TKdtXX6edMSs4b__TSsH0xQGA04PMSUizfIVdCZxQ33thHDponpMcxAgvdrbllBS3P-AnI6u4EqpqRXV9-Z_qu0L6mt3jT1LPQhIs_DgXVZBkRdfhMz-MpCoyiuGWPf6-565xyUSEzIRkVitLA3332DQmZL-og1BM6uD7lcpMdfRg9pyJEM0erS2-_6VBBavWyXCCoUZc7nMj8UacLDUP7nDlGGT4UCZbBsUyUPPsZk1vyI&amp;type_route=efficient" xr:uid="{00394284-5DEB-42A8-9AE4-9DDB27A99C93}"/>
    <hyperlink ref="G174" r:id="rId173" display="https://qualp.com.br?data=DDGRiRoOkGvHXlOCYKQl-prMTVJvLUVPYd98zTfJwMxKzrqHURCHZ6vDgDRMrCuBVnXXZWQgiLAn-M5hffIu78AstUOXKCwCIBoQ-S8onKt6JshEbvksJ-jKX9D1pfG-A7i4Rj43BKdpKtXfXuPzcONtfBD3tj66tJ6T066kT4a5GgK7aPNz3DdCOm_aV0nRKFSIYJHa_ZZiZhvaUMSLgNgF0P3PImQ-mola2u9uTCsDwnWFonTlayMIQ-U4DdAdiRd7r6v7e0vm0TB5BcClCBMpixaKn2kFBmARY3gvTMabtCWMXy7ikNfl4ssbKq0Ww_7xOqKY6L6l2cc1GLpJPnPrsUorgI8ViIybOVIzssHrr8B93z3Zt1gZ5JZQQ9pjivYPOIsWwNz-k8lNNZhI4CdagWqBeTHSqWczE9tJFXJ3DeNaIH7YpMc21kAlW8E4dqb6TrLVmVD-kRn06LZ1G928GzDegh8JAMNPPDevLGsBlfDLxbYe7IDUv1NSLRCet_BwrMSnmvQhy1lxFz99zMssRtXiQnqSrbE_K7bSyP7UKw&amp;type_route=efficient" xr:uid="{571F1BBF-B1E2-4D7F-B1AE-7BD51BE14839}"/>
    <hyperlink ref="G175" r:id="rId174" display="https://qualp.com.br?data=jfSbZPdD98ZKxU903PpsLfnao4TW19ukvMrAQEJX3A4Hu50VPB93G-uwlUDfWK_C351_AfYbzYVH9uAH94bhQUnpXEVvXKvsK7RWQq2kIYCw4O2xBq4SBHeiKmsFFShJsI351D2iwx7ImHjzGPbLv-9L96JVi2qomQG7_xSTUezVnXTIMca_zmuFl54klPePhPENzZ7oEFJFr7Popv4IUcDd-FH6ELPS1ULniyCrNvSc05D9WZGOy4p5Vy-_uhdGUYvxoSZmou0XefqdGHRiaMnmOty44s8KL6J2nTC1-gEObkA8Kssm7DT1MMcNlJB4tHtL-nemd5XMO-7NGGXIjx-5Oi1bTf0wJhSU-xbNr99p_WE9t3d3tfY-jJJszmtjZcP69HFTGoeFcy0E9gcpXUtkMiXSKYjTYDehrahqLXNAVzWqbXLFr9tsv07QATW3-eYRgd2_cNCBDt5rl7XdC3uaLI4yUL2lRWMy8fXBPudqcE1BkY5jpE6D-0ConLbI-aulfQ1TyYpzvWg9zhNODfwavtAmLVnM7bmSo_Lg7mGfA2XdIhHfh-U&amp;type_route=efficient" xr:uid="{9A6E7C5E-5CDA-45EA-B78B-06E970C44B2F}"/>
    <hyperlink ref="G177" r:id="rId175" display="https://qualp.com.br?data=Aca7jHwAX8cHoTAs06j4IQqMbwVnZrpFE9BOjffwGNL4cNAOGJmP8xYW7RwwkCoXJ_yuMZK5bmz4SKiVaSPAA16tQv2OL0opoRXoK9LdUB5RE3oh4rVn-y_pQyBHsSLI7CSnBMxeWKnBsNTsUs6fE0RrzNpaFkLG7Xz73HWuxoy4ELGSauXcxNP385zlgPaveTqt24vSBmZAvVZJNKOZuFP5hAkMwYbJxzkBc_9MnjhOP5tDYDjfEEs7KlkwoYYUid4zHfDja-mJ2znG09K969WFoGR9K_CXf04Va6x6Lmv9FgZHARo1kw9eZoWtnR7nP8_rb-i5nkP3qIzKKeDTPWzg7MfH2tp7ce9cBPGt3E0Qm-SRhN_7iCwS7gftTODKxWyzxQ0C4EWPRW_RP7TJNvHHpfy9t_XedEzfbWUzFeX5-JKRJmcEynN059GebmeMyJ50GJh5NHkuGjHmaoUcSFZuiw0dSSHsvRAuUgdD_SLJJqC0Txd8Rrn56vV0pQgOpkcTFOuQnTMO554ub3kUsGofcm5JrthdBIvKnoFD6gfaig0ngQ&amp;type_route=efficient" xr:uid="{C3F43CBE-03BC-49E9-99C9-042E294B53BF}"/>
    <hyperlink ref="G178" r:id="rId176" display="https://qualp.com.br?data=hnp9r0dW6nYhwZ-SleERKsVRQk4dV12HrKbJouw8xiochxW_BjIcq0gLv0t4fxntuSXscCu9qYzLasfivKcKJm7Dd9oXKQ8QA4Ha6qhJNt0Io4KJDOfpujevCP-WbExB7l2-yfseiGZTfT9JswCkP7G9vJkzDv212Uib9Mp8M7d0VXWwf7Ro99_X936bUMEc5Yh8vcmPWei6AzrARpO2FJ8hkqkcC-XVPj_adf6F6ksEGFGarxysh9cWKOMY3T9qJpf0Efc-Cui-kbqpid6uoDANyJk1I23oWw5FeCa4O1bthpTxDuvxPkASH_KScWZO4AO7Jh86qmNLUNl-dtZ7pz7cpXqLovO8spOyC0_sdBAuNPJfQdCuAbLr1yWq7RfKUKqSlMlesnecwujQhSmRe3wIkIAPeMrAYvFp9u0mU37Up3h6EzXJswA65_CEXx394zmTwu5ItO6zxh7-QMyvlij7zkY7B19QuwOXrtKKEk3TYx97Jqt1qa2p-fv0sD8wAwBJenL0x0AJJhyTAJF5tlc_M_k4NZf7lWtasZqg2B3Y__kN26FjipNlBEUvrCw&amp;type_route=efficient" xr:uid="{A6E0B41F-F549-4314-AC1D-DC1A2FFD3715}"/>
    <hyperlink ref="G143" r:id="rId177" display="https://qualp.com.br?data=2qHi7RxIRX12Y0oXa-8P3L5kzNHz-60brf7Yt6jLT0qag3berNRt2K9kbHA0aJHfzmVF-6H8r4gzT-M3dmVdcwSxTNkxaCirfyPDeuezMKW5yITtOQY5f1KusFCjOlVpaMZujt7oj8WJ6-IodW0gI-6Jm3bDQF1lCTGbqcNumaZ4xIjl2tuV8eiPiD_g3xUJYsoSXzOBUoVLT23JYZBmlJBEXozdzxGGVNR3wPW0bYUynuSqC13ILVUHKWlPQ3lYUBfNqvEMj11D3OkNucMz7RIVhmGjU81A2hBrtgQSksoCUSHiRphcK9K2iYqMBq0uJJvU6KUyzpaIc35oclL8Pa_C3uSDdaRpzCefWNCIm1d1emlna7m6iCLwTYbW50B_CN4vZvMEEmA40zzEw3MHhM6qcgEECQB_fUIGdNQAz65arIWGNBT-sM_tCDamv7rhVofhqAn8Zd9Uj_9AEWFjpRMsnTm7FFfH3kgUTVyhXj8HzcpZUKM5oynXjP0Y2nTnnDf3ClD0cj8gyLhi8frv7niZAxqifx4wiBL0B0jle99O&amp;type_route=efficient" xr:uid="{56792469-CCBE-4208-95A5-EA649FF88416}"/>
    <hyperlink ref="G180" r:id="rId178" display="https://qualp.com.br?data=cvZNUMcpj25ULs-vtt15cyg-HPwMlfoj3wkp0RJgJNnECRQvUT3k0oionvUcmPcFSG9bYQgWYYnhbb9BF7aNFU1OaGz273-uUayshXeCkbB84gADYIiWkCXaU7frLoXyjiO3E_SkbCD5nzWZ0f9i6dCL7dATJnuUGtxTG4_dleI8ytM9_qvg8UR3gBuyyMVXTCiyQxMmpYZ875OJ79wvT5aU9rPrhOqNgxBXq6t8vib-2HDYDULNXz_f58xFk7mHOmQE2KDlTuywQ_ePdyScUT8crreBNru68RKUBoaOPDgd6X6ORUiodUCCQ2g2JrDCmVUrf2meLf2j928Fu-yV9wOaC33_Y-KDNYwWvM_EQUY0kGIUfHfpHLjTOuiZrerRvNwub2QNcUkU4D9Ao_dt5yCuIm59TmcYMuXWhQiFwuKaYZHvSdp3UHNb7ehNgrjiytNurysZeavVicfkvbrW13ANhNvRoqvp3hk4yGbHpvHxFHwcJ-S9H9REjEC3u50lL3MAYLx2QY5JI08HJ2RLPYZ57I71t3LEQLD5SOZoueo8CYnhOZni7bLzcFjmz6CeUWk&amp;type_route=efficient" xr:uid="{1FDF26A3-23B4-41B7-B351-87A01B8B0031}"/>
    <hyperlink ref="G181" r:id="rId179" display="https://qualp.com.br?data=A438iWc_evfeXaQbqIhASm6LP3igDWngT9u9t9EHXZFgVw9R-n43N1oTQUw0lmWFbv_XaEexi-ldmF1Dv9DLRtfRwLXv9k0tNSK6jCrwdzt_elJ5zGLmgqkHyR4ZiJrUUBahL0_orgmXksKwsqMJPWmG6tAduQKCKPP1T34224Oa94AtXZ_JKGtLJurDt7Q49PLd-T5PWfXUkhzRr3NPxGlCIgLeWjfZGp9mc3SKzxFX614E-okqI09_zal85a6a2nUQGYEx_E2to-OtUrC96H7MsEEkh1fVRmRLE7kFFMHitIEzghObo6hQB4GcS8kwT-txo_R9rfvPHuy8IK5eXAUdYdX6i9FjCJrYUJHfF2zXYXBZUdIdRABsOLZ6eFaKbNkTU68wyrpgl34RjHo3WA6O4zY6uk43crgP-A6P12GhVIEtq0s0G7J5fc9DNxA3y2hoHO8HgXAnML3D_Kx9u7f8FVyLZwItFjzCLNqOJ0xo49i-dNb1m3BBfpqPNwwdsF3Vs_lblXVUIbCKhsY0KJEdnQ-t1uQk5j5JcGeGcA_6q7xzkR3k&amp;type_route=efficient" xr:uid="{BBF57E59-F34A-4B7F-A6E4-DB6CA0DB42B4}"/>
    <hyperlink ref="G182" r:id="rId180" display="https://qualp.com.br?data=EqoPDKObJxQNwckH2z89RSwKQopmUStYBJCynKf8bx8gvdHDO-55r0ug5MMdp0iAkQiP7RQr4pxe8eVb9FQa-4fKDruE4V9FS7AgxTom698oMHfKH-FTQpcBy3nNqjcP9B9rXRX0NeJEwxSBb7KSJ22wF8ceAWtg0Dt_Rlb_FxxTbSNm_v-byLHlie-zk-VFE6IkACl5dHdpn4pyCy41YgujThT66hIoSNihgSHrSHO07bCBPRk_kMj5BWTO_2xBgxeUlsg8pFpBU3oDCnxDgIoI-FtFK6XuSSyAAot-yc7IpRDN3gBD-agklXdkqDoefpRTRVQ52AVGPwywVgdNjK_pUbpjqjTSNjqrtpImbYJRuG95BaXp2KTOx2m5jRUh1qBxz827jedVuV_VP4ILzRysn7dpSEwYKffzTkNvnRCos9qdKLJppabp4qiI5o4B-qsNPQE2lCvAuMYULo5TFjorhhsOnXGqOUXTFn_2MLfG7X3x5ZSdEy7xVO8DkK3FiOdJwINFSxwe4y0mFd_btqoY-vQPmWZmzVMdd6WGsHM4AqK4ig&amp;type_route=efficient" xr:uid="{D81020E6-86E8-4954-A6AA-AC30DF941C60}"/>
    <hyperlink ref="G183" r:id="rId181" display="https://qualp.com.br?data=0RC4GOr0r8BIl7evwIWr4Ehz9upEwRGbvfiQvzXFQ0FnQBQFqNDbiBwluDWFKJ-K2GnvKlP7vo8aU9mO7yyEmVfO5GNaXWma_LM0bVN8YOaOFcs7Bq8UVj7bpKIHAa38Pf_-qukgHtY-oRP0rzCWIWN_YIeM6C5Z9qzS7V0kcNAACkRMbmn8xGQUlQ80503MDEC_3VrPjN8riDvo2nCJ9TAizGgI6scEi1234KCcRoHfdb2tE7ofhPpC3hVwgKiM2TJU1ve9j_aV2hF4AnBLsE_kYIp-J5qDIQwAMeawaW-qier-Ig1dTkN3zCHhgGZK_CrMyK--3SDGGSYp3C_MyPb7h24Cjf6V-zzueP6e6FG_ewQLe309k4VKZKRRAjB1VR6WAHftuficcBk270CFYv5fqkw1gzM6LONQ8qlE7JT_jIkgTBdYatfO4ALmF-bI6vOrt0k8xseB7HsQsdJqUs-1CNYG_OfRBQgIq-TC2DSsEqr3ztEeFnCXOq1oANmIN3vrWpB2jhJkvPtmDzOnG-7UWxFWXHB4e0wedIiELvixAShlvu6gmd4L&amp;type_route=efficient" xr:uid="{6676D8DA-9C81-4BF8-8B81-00BABCAD18A1}"/>
    <hyperlink ref="G173" r:id="rId182" display="https://qualp.com.br?data=2dIp72DrIr_apZZv-8lAqJYX48H5riZBbM6UiOMXsI-LiaJn9W8OSAx3eJLSB9t9Cr3k5eu7uhCZD0Ag9pkbRz8h0UH34_W5rX2kiywp7pJzx1He1VZDUJew6gUMhOlNNBadTes5uRSGqidQvkwAScHN5V1NkW4ePyVaMgufTd8lpz9NN1ELpeJFCQywUY2RjqRBnINB3dwMFDJw-NBeKwezjfQ8k7ZtnW2pIvZReCpmk8mURskMDw_DN184-8fpjmFf3Soam7T4b8dXhZHQIMzNvG-ukPSA5hm9gtKRFSvNAZc7hfCXqoLADpXjDARhJYrYMThRHfgsAwJmu19h1oLcGn9sc9LyNruKOqQPgLs8cMkO_yt58Mjk8_zJ3JjZSMYt2Az9XMI9ZLhF8st_0kTq2FOj9ioy4wkLuMmnTLU6HLY9z__IL36aR8GbmEk3GLnJ8n8Ntnlu-U9VymbWyfcFKRpaJzarRx-U1si74-sG3trXeWeWWFtWbP72-eSWjnNIoIK__PGKNboaWU4RKX0uzmD1GpAhnWsFK5-Qc88ZwYFg&amp;type_route=efficient" xr:uid="{716D5041-9D1E-4C4A-A5DB-51B9A70AC6F1}"/>
    <hyperlink ref="G185" r:id="rId183" display="https://qualp.com.br?data=4QxdPXrUlrkfXBcgWmo5ut_A_A8FlDN2EDIKB6za6F_0iNNfgFW6J4lirMvWswHHafEqDiQscfUzhGlZQeH6M3sOgaeVvKJnz1ynSxKMeRZUkK9kxL1_Nun4ekevgqgiJaJs7hLEpmN7kjYezO7K87t0elISfP_zZzBp9wdJOcFgZmVC_LW8Snm_07yDelGWee6rTH8bMv68Q4Aqa_rV8QzNpjBiWokyIJa7bnPfwmctwLvw7CHavZCvVUoUomQbBnPNZnWyCtRlj1siYp8qMwOIaDMOwrAX6IIqkY7GCh4aOyYqC79HovjEChByPNZo4MiBoZqWMfNOwrtkOvzFaS5oJTReQ4nYh7BY1eV9TIKVG5lnZG38ORgJzx2PjLOnzONkOFfUxFs3jU_5NBaNVvPdybKMoyCAEE77TT1Msy1KpQ4T26XJdd8xhVFPnTbTyyy8UmRGyaG1IJ6xdAETHDsLquu8E3byy6t9x-QjCgC5ChTditdlf-hVsRtwVMbaYlzfXNuwxdWAepApvAecNNFr0Z8JOo5BAzzmuWGrE0ZagMI&amp;type_route=efficient" xr:uid="{B372BBF8-CAEC-487A-96B6-34F7E784B20F}"/>
    <hyperlink ref="G186" r:id="rId184" display="https://qualp.com.br?data=CI53sg9DfmP024heiAQIFyOqZNMqFpWg4vwXOd_8Faz7T3RsoZnKC_QjqC3-46mB3O1qkuRSCSvIUHAuDd6yhgds-h_aWFSN7A77ZbLLFCSaWjFkJOEb4UNNn3VkeGVNbItv7hz2vaGoWH3XpF55DES2NBibhgVPTd4KPLCKHC3Bc3IkUJj2g-sD0FwiQEoJ5TUj33_fGanJtf90M4wBxiS9LWWokU_M2K_3zBRAH1DBLkQ1zMsePQQRa98OY2ILZakiKMyC52_HSKgin1GgfL2PMeAtJmMgfSEnP2uJstjZM6mLsCsk5hy0TmTs8N8r2q_siJdhGHs07UI_lxAdNpEzgPB8BdLM_dngpMXycQ--ob_uyb6gqFTMNMb9WbSRGOmsEghLUdOpo_IEHk2AroEEUxw4jBCemjt40ekMYBCse5y0ruD6uYqbthYyqozHE2KJnvAs95v-qpUnYhVucI0kIR9rDVrrfqvja6tOqvP6bAsC1HXUiRA3Kyucfvexx7NtNWdWJEZBzkCGcxSS1uluywiSdifnkXD0Nj7Y_Focuw&amp;type_route=efficient" xr:uid="{528B4010-D3B7-4A45-9005-C2781DF37F1B}"/>
    <hyperlink ref="G187" r:id="rId185" display="https://qualp.com.br?data=dUpkg8HLJySdppM1TzGySr05oaYKfm4CiUt-FOt7OjXcArwt1iEhr1KUtYF0FaS4HBt8up2tkcCXLPxbNq6hPA0C9OD6lQ6bzfryP9oIkwJIk9ojpIYP-g7vvKztul7rYxQrx-7SBdLTltDygzLjOjg8bszKbTlxNnkJ4V0BmkqL_Af1X6_IWmPtkfVeOSxy8oauaZkL1OxLP-4baJrjTv28YxcxLc1jctdBCuOCB4K6-5OX6nLnmoug2kQ-u07ywojBwow4jhmSZ8RCVWzIX0QuZc3snSOvH2onMBJVUyG5Qgp4j1LfVktNDgK3gM9jF4BH8LnUvoKgLM-b-cjBWPQ2wNDS8SnTggPnbmFrM7j0nX-ilTXReEuXc6B-H3ESEFbDl4bs3uWFxYH9hLdIkcau-_m8WxMpMHF2hiMlyPpteUWdpz0fbltMlDkSWCRFtxq19QLCmyjtI7lv1MJnSi9WwGBIyTn1xbJ3A_Om2Orb0U6TVjxO48Owg0Z-mhgg3FT3QNvZETAcC9WbERlD3VURdr0RmUIqd1fUCbj8YAXXXZtEx9AJrG8g&amp;type_route=efficient" xr:uid="{426C04A1-A3B8-4C3D-B19F-24835FAFACCB}"/>
    <hyperlink ref="G188" r:id="rId186" display="https://qualp.com.br?data=o7wJk7SN0mmVgUZThmLrnhrVM-zJs0M4pMheRmmXzjuONjfk0y6rr4CkuspiXHeYO8tVvggbRaDYkiz_Aew3TeTW4yuXwmcXXX6RPZIbovy3NRNXxBiyHrz8MoKBcgciT7HTal52ftPIBsMYAKtNS9tY9QaKO4MfCAvYzhxJsPxg_6PLf5kcHXehpqdqtxcIQojz-61Q_RD8jBpCiEaiDTmDWup-uViyHmPZsGzsLrcnz3lW4VwS7B1h9wbJoZXmGbrE1GLGYXJ3-Ru-8HSPCt6wod0oXeRBLmCW2rMdh_bSUHIletA9fLl1A0frDk9fUqgtCOkdOe0nwoarWn5nMVoY6gFtpDaUI8KWUhk5Wt75Yg1ttyL760RqXv6l3J_d62MLv9yZwS4zTYol9UCmLWUSDgeNqNjTjfHmsoOsqlzrVDcfjndNpMu2y7Gwm1iK5PHI_adz2q5oszq9vqhb2QI3SYbcXBJh3TetoXfcBtomdwoRcI-ry6EgZXvfhJ0C4dieQ_EC63JIhA-MYg0_uy_rQWCbbmYZNeiLz7JR9suo-4bp&amp;type_route=efficient" xr:uid="{D2AA698F-E9F9-46EB-B658-1553E5072E1F}"/>
    <hyperlink ref="G189" r:id="rId187" display="https://qualp.com.br?data=ekVBOArnYl-6hBtuFYUr5eWMGy-PwKhbiI2GIhHc9vrdYTMkeDfehYLyex0AW_bk_hxWjMpuchE2imts8y_ujcuIrKyL9kI-5iffzOXsIx6787gbh_FRjDalAVIY4oDVpu3Dn98jdpcVEKs_zs3QBZhDIexT2b8o576Vt8GZQfdEqznS5qOFiTRoRVKRwyXIHe18_UyHAnGCVLksXUkgVVfO4xDI9OxeZRZB5oNAH62DQoGo62DSBNsA1rYp0zoZ2xZNSUrq0nwdmYsAsEyQRy1r-s0guG_eiPLvkbz4YpJopg_hcv8XFtagXl4Un-c17f7qSC5jSLuUGzNABZ2ejDfsTSlynjP4gQp4mtx6YkKx7lV2YCsnzOfvfMNxdVE2jSpLpO-RygjJro4uJV8kQW0lkw1RXy2PRFkH5luP6AWA6gBuIDGjQeqD8HSku5XTsIlbb5FqBZCz88r3oISMTq6qFt82R4UImWDoknHabyg8HhNOM2YX1nWzzkyUrFWMaZcyIK4XCeD7COoQu4SVauClsRQItx7fKdU6220C2-URa4A&amp;type_route=efficient" xr:uid="{155629A8-DB0A-41BC-9463-E502307FE790}"/>
    <hyperlink ref="G190" r:id="rId188" display="https://qualp.com.br?data=5H62QJ9oAPj473ixW7Ei9ChwsWNpVfaU_DIUQQCJjgBLnruO641pXQXt8_uqQIk9bXCwRutmpX2TzrGMdqQjEXh41-RPLR_1LuYbdEc7sww4rDHc8iJSkiTOUMWusNIy_dW8DxoO-aogO9lDm6AgphpnsweQq9JfzkeIH2LSyOFAZ8R6dsEpGhdF_MV-TCUCbc01xezCreiFqb9CE5yf_fAwaApgDd9T3d09c7Lx-x4UgACHF8cKUuAAe9EysjeayVYZesxU4MQES-qjhX5aNB9AqfkDjOYhoGvAkD7UEvAyxmTWQb_C8lyvQQOTMUxdau-bCYY-SpHNSzHIB-t3fbdcL9L1CqNAappgToXBZ9mXJvVdWjGmNIEcrpkbLXF8m9wyoT8VYFRej6xOQHZDSywbXf1sLG7OD93O7mNDNEawmMq711YRsqwWaToXejTUCHInmE5dRyMRrLzW6ewZ7oq8WJWsZtGKVA6KzLMz_sJDEPrfXx2HFrqN_Xk2zE_z9IguH0iXY_SXmiUYm8Aj9vaRMHPW3Xuu05pO9S1PxeojAhMGPzk&amp;type_route=efficient" xr:uid="{BE0030E1-BCF1-4A8D-9F98-BA0EAC47B214}"/>
    <hyperlink ref="G191" r:id="rId189" display="https://qualp.com.br?data=dEj9Qi5FXBCc2P6IEpNtWzvZLWnsnAws2Pajcn5f9I9Pqer9TrwS34BHV7NUFmh1lbq2IG2yEYxiOza2IaNFWZCB5UkurJNWRgIzLGSrZJCoPENwCWkktMhso88CLWyK6qRIVhd1JvhVshMekRZIpQ6ZG7n89BFyVsbf_kQpVltJtjKEYAPQnksiShieU7VHKCgOkfj79y-TfTpalEWfgswlmVQa8SRosUqgbJvSlswPTBaOMHgAT5sLltYiUYMfZZ7p_L-1NooD8MZZt9QiwTKISVJm5gpJuXNxefAWb5xEZH_AdEmdIdpiYTamp5ECgXfLgFGi-qBvpr0oZ-CHMRDK-pQiruVgvvYr8qbdZgw2snUKrOoaKmGtfuS37c-QRo1kJvHorsfcPusRD-Ei7ax85BvNJR04YwqYb0k6fXvoIq2BK1hgwbOo8FszCPpVMTEibTFWZuNKTVO6BcQ0t8m-EA1L3HXLuzO0-uJZs2kDubKKobYR92iAoRtKrELtzNZf3Y-jWylei0WK7Xa6-4H6xiuybNAHoTGjnhuPUwC148lmpKsseTRT&amp;type_route=efficient" xr:uid="{F3D7C13C-ACEB-4168-9C85-C21718EB4DF0}"/>
    <hyperlink ref="G192" r:id="rId190" display="https://qualp.com.br?data=SXZrhkOXZb5LyQkNKGx4vMSQsDPHb-P5GXQWG_Msf_SXKEvQME51ne-VqNupVLML6KPrcUqqcQY31oZ3YPqzTlVSFvwwYt5kXi8N1QY4jU2KEZ18AtfuXLPSeBoNjgS26yk-zKK0K1QTrd8KF1lrHSzPmk3Zok5Bx3rQkcLy8PLfxeqqMhlkWiW5YfUKr4aYL1CxeRCSpeKcSAv1b1kuUWjorH_YAmxsD3kNYQvktJRHku-GHRGPysPW_u7aUiNckmJs-Bk-9N3curAF2Gw-PYfk_CK3QBFcZv--A_qSDYIFf1bTT7NAjN7jV5tsvulgtJl_TUgT-QbCFt4KvbGv5Gm4kTN7UbYP8dm9wFVxuC7yV5KXXUE26QqRQSOmvx7qhWHC1M78oir1KSftGbnfiWO6dPsPWhfkf9aTQDl_AJHUpO2W3r4ZFat-FHqg548j0aBt26ASu5EiPnZ7QVIfFHg5GQXLKIIYgJxQwk_ML6I6B6pxakxJAjyHbowOaEx335IJyxBMWSndKoAPI9OljM5DWx9KSOffQc5w8s76f-XqfjSGhFdNfCqz&amp;type_route=efficient" xr:uid="{DFF8581F-FCFF-43C4-99CC-2A4F974E47D6}"/>
    <hyperlink ref="G196" r:id="rId191" display="https://qualp.com.br?data=heaFRcwtfEJYfYxgVXKjIvlxl8W4iIwzpmTsyOdsngYjPWk0q0Iju6_oVsWu27gPfytghqZam3ueDdLkqoTtdWD8Ql23v5VOhmH08pJeW2h8ZZ93xReT0gAl8WrBDYNMurv8rDowlAf1K2DRu6ojVor3DxZsA2lp8teBJL7uqZSdIz7VJssuFCZYeOMJDmcP1OeV-VfKgVVZ58A_kb2bUJWXbOCjs5HetBnZKCPw9AbPpq-qE7I_Njch5FpChAytthLYH_aXTpj7YH0NM6oM86cMmPpHYyzSUx43fmaN4WIdgVJlOybVcMc2QOeIG3MvuqvAFEVSwqKCEOm4JD-pFNiAXtv22MUfbVnS-Lky6Wvx0byuWj4UNCdNWymzlviQXot9SVMbfx5TpEmHt130qQu8oA-c6LsAY4NjBnQngwZTp0fY1G-ap6EpTn59njiM2aeslGyt9DTTdcmMJnORddy2mL8F_wGOshggxMG88BBZg7QrBe5CaNxk4J87LGra655sUMXHu9YQR4D1bITvWnL139htB8Whg8wOySbXF3ZDgL0&amp;type_route=efficient" xr:uid="{414E6996-7036-4AE6-9025-724FDD86ADD9}"/>
    <hyperlink ref="G194" r:id="rId192" display="https://qualp.com.br?data=18Jq-xfVLNwRUJrPbNlWBLnqHznCfqB2PEW9znEmnCughYuP8_bvJXb2hyyXd-wTCQqC5GYOjMe8sun2czuyGRbeuOts0KXy81x_Q-Luto1uSBU-jB-00nL7h9gvqgEz2CRtqVKR828e_YzT31tK_hgoL4B-bhWgon00SzF15Ekucb6uJeXIpfYFY-Od5HHEXRtWmPTxdDyNW8RVGObi6aB-j4ItykSKqtG1Bv1NmsMebXY6BQ-vHt4D2aD1KCixp7Qb6Bg9w5K39wNxs6HXi2Wm7S-vSNd4OCeuk5mTaAXGqtC2zO8ieDJHOF00QFrOmzpoFjo-Qv3ZYGbKzwDXXn6RDDoDmaYsyfcD1u3hiRKezRh2q3HKQsWfEiXAFDNnu7bSAcER_-rAA7nX2OVOIkgcFOesUNOm9tQeg4MaCKUkKDF2pTjdBRiGHy_UEYozVnxbgOFBPN1YFTS_VU9Hn_BHY6mqRdQ2FsvNTp7LIXX2dC_2gZQGukC5v_RGDfmP4xiJfzculEHXMUrPB9UEsP5JSBQMGBzQtqYx16L7bud9jKzxEFBA5oKWuQzknwEe&amp;type_route=efficient" xr:uid="{13E69452-8572-4991-B69C-5008418734C9}"/>
    <hyperlink ref="G195" r:id="rId193" display="https://qualp.com.br?data=GiElzLqZoEc_H9a4KMVHuaoPJp5KfQSMeCaaeGm1jQcSEbpj5XsIV23E81h90SNBgMEKQeOXp3M58Jk20GEnXSCrsaenzd-Wk7IiDRzLM29eMWHB3GfTvehTXSsesVzL6t8uIeCI5Rx-Ux56z_AIZpg3wb_kmeBo_oXEyMyxLt1jFPiSLGKuQ05LpKzzQ1C6jpoD8vUexEHajugm8TV-b_IwmvVfuqyHIWoOxT2Li9mQB5ZJtCWC9CwUzTY9usvwmVXEhw1-1IyRAc7e2BPj0jCbbQzf5tKq2Aj-P9syVS56AyceoNU6T8Ekn6sAxuC5kpF55vnETl3wvhq_oLAsQiyGRQMHh1JYT6NEbKrMFa6k2Oz7vRWyOM0FhfMAnSs97x-2-IPgrdzZ6ytmFROEidbi2mOQtEzhYpZHQjuq9z0UH44ztNTL3V3wHU-J0rNtMXYEBEus-N7olesRU6pZ8iouTeEtAFelJmJo6JICBMXJoTu33MBWr-mSWxBw1qmmRQAmpmUSTkfkrFSKTQvNMcZJC6n6ThwDA84N1FvWLjzcog3F&amp;type_route=efficient" xr:uid="{D11ADC3D-E34C-42FE-BC32-A62D3EEFCA38}"/>
    <hyperlink ref="G7" r:id="rId194" display="https://qualp.com.br?data=wd9bu_Oaw1_LivrQ6vs9rpoOeZBhfB1mVD9_GnmPKBFwmL0QpfUQKBFu5XuNvuaUdz4NVm3pBiqoA3iO3mtIhYkmhDuBUoVxrL9CoAwK7mwrMDBmuazCAzZOFFYGBJ6_LdMWgI9UxiGoNQkJFguGFl5YiduHOcxHzjaYa6Jqj8qgeoSC3JENHK84fWYKQ5pCULTFqnDVddehWrL4KYvgWonoAXwMUMpgWeJ-DESaB5nQeLisazRzogrW3kxxx_MOaaR4useXiPsz35uZ_dwbo5FCD3iEuEW7kwWWiUfQulipRmD1y6B2WMPr0Ye805P-BJaA_KuiYfms-NZ6TmLc3g7dZZTUV7mD_JwilxPDaxH6ngBz3pLLuouMlHs5sAgqcqeF_rueJSpZ34XNE2e3ctg29Ickjb-O_UO3E9VA5kpv7uBAckrSXAsky0qhJNG37AssAFaEsAm_xq-oegspBs5r3qPEOUKhBta9pGKxc7waaZfkhvZI3XD9-HzO0zdbo8nuIQyZ0rDcLibB0KtF8-UOu9A0Jy7ytMVqTDs&amp;type_route=efficient" xr:uid="{7A427449-7815-40CB-8ED5-F96E9250D616}"/>
    <hyperlink ref="G197" r:id="rId195" display="https://qualp.com.br?data=EpmQpa60iQMXMGDsOotPwzwL1qEjpw70i681WJyCTwyIrJWyGO5QC0YqvDkNKnZ6ulaI60W-grSf7X0V0EfKDoPwdTqOm86wmh01zh0mm15TcBA1QEtA04uj7mHiiWBv9mFnuhGG5y7sDRjYSmAQVJdqi0Ge-auVXGT_HqFjVf3UEgvosJAX3VLOFFxHxRft6T46Vf1YYjMVt7xCjcF0DrFLY9ck-Twr-nPcqfW-2muTm2o6xBVAB8mixi4-flT43-G4TJuevoWJlO4U1SKsq7SesSBl8JRaOR0fqYo_omyfjVhjT_b7Sf3CNk-w8HCXci7uwx_vk6Mf-PCGoCooMBfFXxvniqnTq0_pigV6YEVla3roHyeirTQN1BKAG7I2L9QfnDvuqJ8snPYb9MANu3MJpAkclnZf0ZFdZBKIX7BuS8QdJoYi7C1rrHWKehLXwWYLgUC55i8QQDqOPk1oFtXbRkIcYP5Ilhkv9gSbPHXDAzAlC8ZxcROMCG9NJ7NZgnx5Fy9J0P2O6QTQC7XvGGB3RMeZfICCikU2IV0oTwMR-g&amp;type_route=efficient" xr:uid="{7DC30C79-BB26-46EE-94D1-29A7D85547B7}"/>
    <hyperlink ref="G198" r:id="rId196" display="https://qualp.com.br?data=1tp2xLm9mRIgafVqOrO-NOwojdBPzwrgUCNEjEMEVsMNa0_ug-qo7YhtHm3JBTVgsjZU19xLWznNoj7dHHD9C6v5H76Kh6QkBBuOVurqvpe9HEEasgUOY5dRdj8_Tyiv8DdgB8zz5_Z2SpxIM-hHG2PTnyQcpU0ARBp1Z6z48DrViqdoxnxVItlmTQzbmkbXh5hyVW1B5muzlIFwM9NLb7eZGjqWNiWm35fX8fWW5FS1gCnnv3ojf7Unpat5pNtQOrTzfE4z9AZpTIDOvGnvRvgtCjj1DOxKROqh8EQUclwC7HgPCpCSKeaQpaDgDP9NdgaYdwY_gAi1NOriiXFsOdSFu6lxFzwF_zyiSUlRvZKM6esEp5MVqTLGIMRl-iL1f8xOqyGsijC5Py6lV_EoFdnae8fwVCYwczWCiXBBvK401u3kBdBH5KJdH6fMaE1_EmURygYaKrKjUO2rX9JM6jauqc2mENuI7qx54Hr_I9r5F5zIfJAqhs181UiN8Qyrnv3V7QpwsEq5Bua1ZBBdLg9WgvaYYksr2sNgDD_61y4&amp;type_route=efficient" xr:uid="{E2CC4D46-1DE7-43CB-9900-A629663F4F6C}"/>
    <hyperlink ref="G199" r:id="rId197" display="https://qualp.com.br?data=UC7-7-FUjICYcAjSmVvQpWa9V9bTyLY-PyiirCSCPWJtLXa2LphGEYjQRuWvwEXJ20M06iG4dDGsKMTXLC6GkXOzuqw-uKWP1r4xL6zNMQHxaX4qpdv_eDEIkGgpHFliCpFMkZEY9RWwxVnIBsbH7Xc5kRm2NxXI8d8BDwgSFAbqgHCyH0X7Y6xhlDgybJdVH6f9V7Whn2ix2cbZXyeN589CV8Jc0dgFw8gCzF3gUQL1XxAGVGUDNyMY1erYyT_XxgmJgTxCTw0uwFz8XBMiFynSxP2lluZtKzSgVRz-QHl649ewtExPP5I3gHY24kM7_6ZXJmA4sdgS2KWUgECv3F_dCLV5HJVYL1OttdAtZbi_G4PxxGtAG_ZYT7I1tNIj4RSSSJn45tUCrIBBsdJ46hvAjuXRmwUgWjRAAP9ya-MOoup5gQrcg4nU1lpHt7exJ7ZNnXxCAZ2ddbVDS3O-aH17Eubi_w1iV26fghsWM0qnIUR8wM0IWOb7vrBzsdsxLJk50v_lceVWXw0BcuHXpf0Qos51Wn1MT5gVc9wHAyxE2w&amp;type_route=efficient" xr:uid="{A5339822-59AE-4A42-8080-D050B16ED3F7}"/>
    <hyperlink ref="G200" r:id="rId198" display="https://qualp.com.br?data=CdrmV1Q5WRzA6PY6KU6uzNj5hBljijPzJ6ay6U84CdHhES0EzRwoYhOvdjNrcxI8yPR0wgzXeKIjK6c4esONnNZGin_feNyyGS64jVSth014oBDSW8ebzV_gww76XIWSaHpVeaJpBpIHgSFRPbDvDdxkoeBsVCFEOuJ6wo2WaT05WoqW_SPUQt161Ydx2K4Dmkj1qOb0jD95UXdOdYaz3wKfI2p9kM_AE6sYxzRkEeH-ECAqXdUVJ6FelKeLeK0SdvF1gnCvf80B81gQpYRHjmOHpz2ipuTH4GjoSgF4Xw_XGZTKQerM3CyaghIrtuBybb8EWdk1xhrxZVt5PRaU68l21NYLgVfjJtluKFm02gFa2XbqNsEJZVZLwXwJeT_lFyEwEJbDIr6BSr0f30fZh92NizwanDz9pdRlJmKTOvhc1ChQx7OarajYL6zMAMp9QsSPEsTDYaLJ_CeKTGFMVa9pGhWqU295h8aihwPP9PcndRP91vjnNFIU_bKwupwIVorNTkr7p4Q4z0fsHZZACBRez639xZJfQmpFsrkQRP5pyk20K8aN&amp;type_route=efficient" xr:uid="{1414462D-BBDA-42F7-B6B1-5F0598DC7129}"/>
    <hyperlink ref="G201" r:id="rId199" display="https://qualp.com.br?data=WmgNNqRMyFQk-CUCCEqT4MLkimWxRi0rjASOjOz0g5a65yFLg_xnFnJw9tPiAmNNxIf9VOhPSuTdWn1swMafyAz5koeg4hjQ5oY4OAusx95fRIrvca2P3SAMeZrngXskqGEZU4eqICq5p6OO3Gax0x-Js4Vp3UfhvQDgH2QGTpMYH-uw3lX7hf3-jTCNKToxdQbQFKYsma7AUUWCVhMhsrTjehK6_CSkBN1gVbSAZknheL-qqHtdLpvby6z2wIhy30SKMJoxIleqLDiY5FK27DnpPsVLMe591ETJMrMecjuSJLoVJZWJzCj9BWoYjckFPySu39Q8vI9c6mHu7N3FS2EOivkmbLCT25AreTXb_qMy9j0W-GT899Nv9K5NwNyN_3ZSvZ4U32yM5l19TzJwbmkfyGypYL-Vg7GCy1yumP26F_SiGKrX8U2oAbldeIDKY8k2nLklUnPyAnGx53KC3eFJEknbhJygOTkJB--ThTSPaM_VAP-azYRIbgn8DhSI_8fbgylpjOMXApIcAsu1IPHf8oTNqOS6SNQ98r_vqxHpdAk&amp;type_route=efficient" xr:uid="{330B2AD3-C416-4683-8D13-C057ADF33B05}"/>
    <hyperlink ref="G202" r:id="rId200" display="https://qualp.com.br?data=yNA0SPOVABSZwgyrHsQ6PWK2JUgNHFe6DvWao6IknTbNSxavg-qfCTcjlaysPJ5aQVYfg1XQRNd74FABbv23VdZn9lNcBFKVRXGV1FSn1mZuUZDS_lf5njl4qE-lx3lmrqVLqICS-RdY_izXBkAliLvzW24DjU8A4EC-TZshKruJ0bCfWfVCyFBYj1mRQDfEjbPQmJZFL0EqBT-arpZyX22TK5rom887adk8JHgRiA-3KviTQNtmVU5V07GuwN6zdTYq3y-PYCw3grBfx0rLv23q4g0D4DidlIRfslew-YvBgGBEDxU5ntTq4m87r3a2QSUAERlm7OWDPwqQ08cptsN8ayUjAqU1QkOsVpu6vsA2AnF-7CMryYoM_gGDthXuqNl2wdOFgrQTqZ2HON95BanJaxyJUgnhbZaOUrDOGuGkpuhzfEmttAQM3vodeE0xjF_dZeb4FwPyvdrcPUDZ1nsp3xoR32RtGi_jACcABBYvH03LZ0DY5dWFaumcRLu9apod7h1F0JamudzOuq6f6mTXqZaTH49IsS6h4-b65M8K9SU&amp;type_route=efficient" xr:uid="{B484DB70-C6C8-4360-B9D4-FEEF70D338AB}"/>
    <hyperlink ref="G203" r:id="rId201" display="https://qualp.com.br?data=h0tsQ2OVhd6RUnxtvSC36WNlVmtweL9t8TU80u0bmWgiunkK7Mqh7ayxs7nChcgytmqMlmBN3WarO5eCqng48mfrA3PpiTVuasIiQyeOeXyCl6Uzxt9Mj1GLlA7azTFcOi5piJxfLQICptX4XV6yXIRpkS-FVCvoEIibRm7aRCvIWtQd2lkYxrumFADjefy9VcQ76IigjqjR69lbPFco3KVoa8TqPBMz__fZhxtpuQ5Q7sLagreImPlOUKW0RbEcspXKARvWdmdbhLmJRqptQB5rA-yjM_z5ak70ddRUIQSs-aREFMyV5iE590qnoetTVYCD8i5SzScxO0feRIDajuQQ23JUOj8tMSTL8o0Jb26f0y5r84Dy3LBwJLMdbVs_N9_jlAxEj-qcj78ArBnfO55tpK4r2-zFl9qVrP605tor1SQmUT7spzuGY9MqdaeDBDkZfOs_J4nen6o5nfAeoqBBFotzE6SgAq3KOxu20vDJVIVivDMeGA_RsUUokmkx0nTr0sz-iEGnlF5WbDMkufdBM5vrt_FDRioAaNTtCfwUkplFJg&amp;type_route=efficient" xr:uid="{89737530-4A48-4684-A07E-3A5D988A1F9A}"/>
    <hyperlink ref="G204" r:id="rId202" display="https://qualp.com.br?data=1_2Z_hqerZ-bx1P_y_JNGM2GTE3KCUiFS8EwIz3NK8NUp6QyVciDO4dsEAHdOZhvD6011TciniWr25y45OexxNh2HH34XoTzIBQmsSIpVw-tXItyXgk6vjZoaYe7WRaaGBhVXhp4QNb1oK9ltb9hKuaLxY90cQcEYgaHQOdCymKrJWfLLxZduCWaYDiEQFYYB-M8QEC6pBH3kZGDA3b9sUX6h_1KSvN6xzBNWyj2cGFiKdJ5KHSKd3p9cxzWzFPPb4gJ4GF-t2dyVIPVrTn19w6RxRxG3M3gU_IRBhsRxK9NJ8idkBb4g7DkK2p4nQbFwaIOY0--ldEWDiw6X5PY-OdrIR3zgWfG6lwaVpEejWLRF-bEuxI2fZqNgcwmO7vIAF08f1YQFs9Kp5ZFIcBQuY1NRhgzlJY-7OaGBO_eztsv9sUQLAa2LCBTjOeg72Xsci_hOMxQu8n7Yf3urNl60DseWlfc3P1LxM1_PhyHvrStKAXm5QPLxwkHvuII_f292DWmT_Ezp4m2fE-0b2ylKGo1oUaHlA2oeLgu7nTpiQ&amp;type_route=efficient" xr:uid="{D10485A7-82E1-4997-8ABC-2D7287715D86}"/>
    <hyperlink ref="G205" r:id="rId203" display="https://qualp.com.br?data=mYTYd3sNb_8ZUezs2edh8OEqTBJmXOIWKNzVF4G7Fdo_stBRRknBRKIlh_TtXuxiG9FSWLadHVZThQDqojJQPCQzPJFEdDCM6JvtQ6t2_CP2DdGv4yxcD0Eu9zvvYGcPidW_EqiVvZlr-3jooml7E6ZGrBnPPJUzb8ReHErWbRn9Oj4jucIOJeloF9rkLlIq1gVLuvPhbiWDOq_k0WfP289ikmHM3kIhtrube_v8eE8ucSj1ak-uO1bfZaNEK_JNvx4Mynz05vYyjdgH4RRegil9QzseP8fG89wgE5oIyD2LEkaNyBIJC6Wyeotg0k0KPr6WTRLU3iKZ1zynFdqthjrsikZ4fMxUC6ybtqA9PBa7nwpbmAyodoxYCi1LnV2KN6Ql3pPYFbv_ar6c92O54tMA_d9ccNRUgBKBdvdL-p-oofSez4Tm7X11UTdVuH_TiuEA7UoSHkYtzgz3cGcab15447WemILXZrpD6KRVtxuCqB6Yy3cDAhKC-9xWFvle_PcZjMm5aMOGZkAi0zbz25QBerQWyJtCBs1sKqLrA2mqZBKi&amp;type_route=efficient" xr:uid="{30910D43-A79C-4012-8661-06CA17E979E8}"/>
    <hyperlink ref="G206" r:id="rId204" display="https://qualp.com.br?data=R1mk_4MmT7NgWDfTfUt5bW4rG8b9NiX0q2MsBjbL5X1UMxwA3Av6EDCfD9C3V8e1cRYNsocfnCSQzuSIWwPbSpxqcrNPwB3wpbfe9SD864DrDGpxmSAZGqEsNF6koeZf78PquKj7YoPM4NwJmtW5d005XcAZ5clREda_Xcmy_CXuVsy3LOzlvbofZtwDJFVgPZMQcIqcvnzEuL_P8TatKimXVlAMMzieenn0MbEEUauoqJ-llIz-kgCz4eWVQppoBIQfl7as4vwskiX7XN7ogqrruFElNICJGSiKsW34W6R55WR8yzN-O2KGcnWFm_Pm-C-N5vyh0P5mZJT4dTQDpRw-YqqUcfTp2TywjxIxB5OsVoCRUvWs-5zpYPK4zijs-jpYJjI-puGGEMaN_uhIXIMedRi18Bz0rfsTjGj0asIfCvysE8tY-dlGal-jiyVMddxkIh1Qq1n_PRi96OMd8b5UuFNEae1GYhCfFz3H8nLP1JJmolT0DCktoE7js05mNq65TLc2ikd6Uyvi_wTtHuBLG5HO2-IVlvtxZHXsawZxXQ&amp;type_route=efficient" xr:uid="{AA546F87-AE6E-4E92-A680-2E9DCD87BB73}"/>
    <hyperlink ref="G207" r:id="rId205" display="https://qualp.com.br?data=_IbhW_cZmxZ2_ntk4MU90iiSOjIeMHx6LzXADjPjALXAMzOShEyRCPLjUctDLpfbK88dKeJh-fXB-xON9LOcewC4ORFI8mcodNgSNFgleNJhxalIANDTpozy0vaVzwXoUinGUQDrY3H0syk-VIR2SXz7gVFSJLc4YXhIXQMD9kt3ZKxQx-WLEVrwToj6PFIzKtFDr0Up_tLRVUqYF2KJ69Ty_p5PcwkcbS0a_1g8ZocC99wVJz9c8dADYpaW1kv_garvdc-Q9UR0JiQKHeGjsLX1VrHgLm5pI7VAGb6uhMzXrOH3T8F8D2wa26wwSLPZYg5ZPCpKW5fleBCtuF0T3KAfx54v6H-dJQ2_zvdDMNOjegnpJAMreXFL1n66-EmEHkw5qFQl8FrkmgofLUa1iidRaXalHMZr4PiJKh-yI1DYF-Up4sYXQIMkZUwjzPJliUfhOsyZ7aM2qgdNSkDx3y7lQ0S8uqL1210ik_fisOoogkN7q_7PSefXZMPbc9-vSh8T1K6re-0st-VPwuEj8r5TR05i1cEjjkyA-Yfl73RjAbNnX77h&amp;type_route=efficient" xr:uid="{243E97A6-D985-45A9-AEE8-3CB7BCAABF2D}"/>
    <hyperlink ref="G208" r:id="rId206" display="https://qualp.com.br?data=DbzMk1Jz_6Z8sT7J94DDQ67PjizpTaui0XK4Y8uPi7yvkGxk-8uX-KQcLW0TPtJg-hVUheRL6-1d74alZ2gIrT3LKxHCBXuysyx3dEafhvY7LglTtShnivV2RUSomLv0YsHL7pTX95Dohov4xP8x3GpbhSC_QnwHwEPmQzw-e2Xx5DuKMmALi4DMgHqaYZ6_BWLFYmlp5FqC3tt6S2QAKkM7Gwft1J_lG5FR6He6Bl47D9O7tROOKS1tZ6RMIAtTCzG0_mq_lErE11vyVPmT25HSe6panRy6Je8FO7ly81AWvFTA-iHLJ12wosIICj5CVf6NrWtPYXI6nydEZTfFToGBJ85egcwdnbgTqF-sZMFxNGcbNT8uM5co11dIm0Ma1vFXzIKmSYxa3u6_0MKEXwsxzp-51Xhq5yMEEKNBLN0QGSfW_Ex-tvqYhKjoh7yv8ckPZYgtiZf3QyTzVauW5tEzycZJqCnbQuro-Te_IHD7K3hlAlKf5ALHoFPpJ4iU9vcYp0OmReGtZZZX71fzFNSnKRotljaFHgDbGcSHn0Uu9g&amp;type_route=efficient" xr:uid="{D6F43D90-7D98-41AE-862D-197F23F24AFA}"/>
    <hyperlink ref="G209" r:id="rId207" display="https://qualp.com.br?data=TpREcDaQReH1WhkDcMJiPXso2FnFJlJvnl5fMTybFHIIUzCl1krRGg8i0pY6uqgx7nHAMDp-1ldCpsoHS5App5MEgM6kPAANTKZh87aPLPn-hzlcIS2kubRbkP7Gyd-bGmhCsXR28aN1ikj2LR9G-UCjHzRp8-Fb0-Y0NuFq3tBysVd6Was9c8bxkSNkntk6Tks4ZXO4RN6ug-0jceVsz1KXHbWn2ihAaQqqiEW66Gce-4pMKFzCOdEF61-n1yYPUf6QHhHnWFw6sBEm9a1t91BTlzGI2mk1Lp5G4SE-rMqnA0KJt4_ANO3K4bG03m7ld37cvHV9T30Mn0ZB94AuU-6CFxZLCE2x7RypOqZVJ8i_qER28XRZe-ZA2YM7i6mpRGbTf2qiBfxdwQnQW7s3vwenf40TbybKhTGf1G4q7e6L__YpglI_L28iNaJsDwSwR2IQBTHvCqzROrOuu6-Ne4zen9PMvTSikluEn4ajKC3jzLXATTewKVv3pqzp6U6SDNhAV5zYxR8BI-YTHVJSYKtUTfeKWJnlyx2_W3B-nzOJJ_rv7Q&amp;type_route=efficient" xr:uid="{39C06D2C-F6F0-433F-96CC-DC8EEA40B58B}"/>
    <hyperlink ref="G210" r:id="rId208" display="https://qualp.com.br?data=Vit7efQ9VR0Luj4tRXkTcaxn4skmP08ERqtyQseVgvYW6viqCL2DOenpn8nAn4a8S2XPWU8-vVA9Hmgk4I1hraPiABiNf7iRi0hN5nMLKlY64Z50KbVHMaza-VnDQZefxza6NSrFtdjTtmJuUba-3y0Kl4uykETaNGE1IO2QOm-Uy0AZ99HAj4UPmAmPF81ZU7TXjRY8R8eIna4mjeI-rfmWn-9KcfcQi2jDcrIK8NrA7QchhcvTWa8p7bUNzePPmZZsL6oarc-dosT51NQ1vSnCK5wnMmy6ov5eTJztzIoKdBLwR5XUWdqWZrI4dzmTYtkLI_tkdIevzrj0vKxySWdvq8LDJ5TB7TaTSvOn5PnP_8oANV3aASmLlxLL4pzBcP0_8x1OMnlu88ioF6zhzz4ooWUNJ6DNIma83dD647GJa6jdO18-DRPoBp_wjcaiAJsslaYvxK21a36VZvgjTQ8Mbi5gAiRdTh0x5DvPLEq65Y8B27YaxLoWZIaY3aUnluAqhlIL0MfvDiOSiCpa6HvctEIDpX3ZGWi4ujBArcNE1BNOXRNr5Ii2&amp;type_route=efficient" xr:uid="{263B54D9-DDF8-4647-A9E2-9D1E42FEB45B}"/>
    <hyperlink ref="G211" r:id="rId209" display="https://qualp.com.br?data=PQ2l52Kkb_rTCt1gDfHt_dSUoB4sR6D0xTJ0vBjkvMSKe_SWVazIGFsRtbhSSox1YHc6epUD0KC6KV2KJmocYCZHTREjTWXpKTkc-p8Zbyx1Ne4ZIb_O3US0qEB4HDXpMyx3qXs2IfYV2E5m0c4666fBVEBBSUqJV9lROrhmRFkxOgL7rFf_fFQHudyCe6e9eDvOPqEbUXQOltu3DIcEQjvUC8dKefs0yaCudLkS23BpHjUD8x8LBK7jHClC0vHaxEkpGaMfB7gngghMmGWBjafhf4wew8APBCRwlpZqLS4jD01MvVjjska8fbREaQ7YIb5ozKImKF86Xpkpm4tNbt19arFMl-NO5xgQSNbeL0ByG_Olvo5z8prOlMmFIdi7CHX6j_EQihX1t0uXvH9YdEqiK17BUXfMcKNs7z4O05fTrN45ZltGyHpavje60mEO9nhnLh_TwyG4zWdQb8Xf9xjuZhexOFUdnbqBcDbhMptHo5TKJqYl_O4dLa5huKpQftMJUZwfUnSKk0T0g-W46R14pfBf6QqWqTlT5EDjErq5xB2o8ljo&amp;type_route=efficient" xr:uid="{C758670E-7B3E-4D81-8620-4E9EE9772A80}"/>
    <hyperlink ref="G212" r:id="rId210" display="https://qualp.com.br?data=jb8QeGRiaYNgYLgDBR3PfvwAX0WbwWFJprRLN-4fO7T25MnaQ4jHrU52xYKI8Ss5DXMj07f9_bmUi-lO4bF0ivpL0vEBkY-Vl2s1wgJT0JDvsPqqUs6T8mOCF-vtH6q6hrClCtTZUcNrjkmSXhUXOYb5Grqx6T39Xbj01HBTRpmSeO53YiT0HlQJ-5yW5AA9NlJFfnnM55ooWoH6aFiZ_MjVGjPcRtfwapJ7MAg7SmYJ5JZnAFBtQZZSgL727X4Z0DMaflms1Hl1EUwZfGlh0TllHlCSNAlsNvzH7yCNK4YsTeT3pqipBteu3r2joNyokIt-WR9aUhHB4euFZL1jimZcqKSPK5gDzRU_oFr0XsWPEdQ0Y_72QC_stcdNi-9w-8pbMp48ywUT5hm-tL1nRxTqRje3H33AEceGqTnIkbDUSJp036DjcnWF3VdcMWFj4bHrg7DRxHwtXcmg3at68_jok0BsXTB-C5JuYaj6yCOv6SpJeNiDjNDKOFsWIFslfSCclQZAQkjt2-kTULfzKrWH5Mh-5hhTXXsWBJyQyXmC04Ok7to&amp;type_route=efficient" xr:uid="{A2400146-1733-40EF-B579-DA360309650A}"/>
    <hyperlink ref="G213" r:id="rId211" display="https://qualp.com.br?data=HiuOj8orWbxpBZoY6dc3_3WvCFuZOGNQs45owYsSc4OScqhEO9cP5Tx1-aBN8tzYBtlWq-aNBeZjgocvOIvX3lx8dDdOdMXJ1_EPyPdGi9t00TRIb-l_8BRgkgmwgCFDyqrqGzj9rhLX5CSjo5805ApDX_nR7H5oiFR-j-r6m0tfbPFsW47nftlPtiAvd96V2i50o_0SaXek269efs6uR0EnKOA_IvsPhZ4IO444Xt8P5kjkzuzLZ6nmmDaPLDY1h9rJHp1KpXk64u3HNjNkTAWEFFakXdusviRav2FbfjqcjDAwrr8M65vdKOJT48F0kzyKdF5vrw2AQBMVVaqdn2TLUAaXaNdNZZCIQMuDWJdtt8fr4c5lmGTTKyAPs-525O80j4xKHt9pFJG8mdWgPIuSDXYhTFTpt4kGgTFuENIVg3yluygVA96HEGBPJ4E0d6_SdVXc9nMy9_M3oRFpyVedmal_J5UyXl-OMYPBKT3PUFSdQpUmRVJB7ecREPMdSwyt1JLcbUN0pf1RUU29Fia-wA5_8P05VME6ZIv2nbF1n3JJurYiavH19m_uHaZf&amp;type_route=efficient" xr:uid="{E0DB153B-E646-453E-9F92-9812F088A160}"/>
    <hyperlink ref="G214" r:id="rId212" display="https://qualp.com.br?data=ul7Su8LeoZj9Dkt_rnJeWjqeKSG6cvU3v4LoSBl35gTPr2P_XCR6aXZORmexEEXweReSGpMzaFrSZpj1h9WQRzU59S_gPd2iJ90BNPsVSE8QbMalpn83H_uihD7-cOANM9K-3EueRAMO95sQAQTNGFDoDpvYgYWW7OQKrpC5BnxwWejL944Sg4v33qtF8pMlgEVz6CqblZs9GCjLmgt7UeIgSlNqJTh32A3dLA0vDiAl7jBWBmWOI7YbNCthwTn0YSichIURdsliQuUVLzhDQO1_HQ-hOaUcppS36Aml0T7HBSILWIdyD0mXbKxKCHcyGjgDcxp2ScfHrCqEwaTMM67KR1NpCB5eWQsOuOk2SE_AXLRijwIN8EuRPv8R5mWUMdqcnsFJyz7fJvPxb0wqAfrsJEARBcsxVEKOoy30gkoE2T3KzYmCJj97KG6oBD5Eb-YEohhgRmbi8KuQXz_m6YpIm7-MBDxXDHYMDKuZmhEM0FYUpunN0g1ClR4WsiDINHaigD4TasrNnNIFj2pTKBQ8N0C6z7TYAImImF63bBuPJg&amp;type_route=efficient" xr:uid="{590C5AEA-8F7D-4FB4-A5FD-EE77F3BF8AF9}"/>
    <hyperlink ref="G215" r:id="rId213" display="https://qualp.com.br?data=CF6vrjb0n_mhii7_Q0g7NeeZa6H36OyuvMLuHw6jOMuFOyslDtzMoylBmLOD-yLE8GdYOFaSYM9wLxsnGDSp8ZgsI2Eju03OAjUKdzmPzfc2EVVG3Te0xFSr9jHHq8oDdC5BCmo4y08mg1YOM2l_c6-QQZNmCHo1mswBXqjjZL8rRRKlKVJbLVa6JZf_d65HzRkg_nLx6WHgc1N5F0g1N6E2WxeHsaIzTXaxfA_HlhYCVUA3uH5v0pdH9Bj1oFN8NzM1JFoME7TfJT9sP1xTqHj2HrQ6jBi-7tClczCJC9Nj7Qi3Z-Gpfg05hqoZ0wagQ4tTBNcccUbEy2GXV7yszH3mot2HqC2-EFIo29WbAddRyRDDTFl97HJzt7fJj3m_1UqbZKFAma-vKfUClDXm0i9HKba7YreKl9fTPqmHSgKcxp7Tc86hPVn5lmFrHkEmNQAA1nzQOjB75gzNp8kTutwrXH7nra7EaKj066jAMiPNZrwxq6V5ARyeezIy3XsopJZle7Eq2PoHMhTno9hj_EdbbyAaYpZ4L8DZpS_ogCraBuB13e9lTgJqwA&amp;type_route=efficient" xr:uid="{5764A50B-FFAB-4F78-9CB1-8D1B48289C76}"/>
    <hyperlink ref="G216" r:id="rId214" display="https://qualp.com.br?data=adBpu0zWKM45pYc61B54UHW9WDsA3MAwiNoP9vREKq8K6detlFsIue0hIlsyKEQm12mnEF_GMj3NvAoATs2s31wugaaB-nNOa-ckn-Bwl88lHNahfFaTjFEUu3-p8nZNaBZ0x6dgGGxCbyDBXgFDgVTh4N2r-9skM9zu9jdoI0SSXFUCZdI_agzQRk7ZnAF7x2lu_AoxyE0jvaOa-P3L0kgVBTC58UXT70KiQUf9SP83Mg-Z49ISXgo1qzUSrxmMLECLo75k_8AaDKX-LBvILTLdcPiVKQOILHTBp7IZ5Fk6kkOJG5JZ_NXWDQr120cVi8ug32pwrM1fnFxAlfCuFBIrfNuh908q9rED6pojWKTMvuG6lHKJbTZoNh0NRzn7T7o6IBad56X6xH83zRVDOC9H4BdkQDxD1bnLowhAVw2WsqsyITwtZ4QEorpjOhYLBxRdPxfH_BQNF5Ynh1-wuTnSxe0wcakbRpA2ZRVr4PykgWLGOluqusslTqXsmeAOrYJNuuuDWXwoISyWyznzs9rWdgD9lmAd9z3xrrF0DuZODKoZI016PSI7QRUTunaFwq5N&amp;type_route=efficient" xr:uid="{25E1FF5D-F60C-4B6A-9E02-FAC6921972CD}"/>
    <hyperlink ref="G217" r:id="rId215" display="https://qualp.com.br?data=fs97WyPSbUJupmhvilGOepCl3WiWvPpl3GzM1Tp9eO71xkV728QRMDvtXTP0C0P4lOr5_15DorjCvH_Ey2lHe9KQqpQPGnX5oYvVLWf3Ao8yuTdcDAV24-emTav_9C5bXKB8AT5D48lHaSKX2RqXtoUBV-cRDgmxPHN7ZqYEqvSBci3pxGJVR-ZnYhD5CYBgtUf7VUDLqXcKqY00e6a285bforWmJ27W1lcQIZn5jbJJHWOZ5Wmq_s5VJHzF0j5wRqM4kDSSITnq4mFd0cpn-6ndOebZ9hPF1mDpZgxJpheEPvsBwnwa4v-2zft0PXUgO1mtg1Lv8eVCj8DRFGV4nnqI2RXpsim48dZt4c3SuSjdMWTA-WfWZ82qlw5SjP0whKlnk-7OLING5efGPHOCSiC0xo38_edpFOcwnqI3M6utQW2L8mr26IuVNj6XwBZ-cA9EGl17kIK90MpLMP7VcletXAAkdH71QbxhfmneB6Im23DFI0J-7ngMJImYJdxqEIfUE35YTea0JGzTO4yC_zd_bAHQqRpHPlvutZKpL5bBK0uGRw&amp;type_route=efficient" xr:uid="{CF8C7220-CF69-44BD-B059-D3A6FC063990}"/>
    <hyperlink ref="G218" r:id="rId216" display="https://qualp.com.br?data=aTQPOQrj6FqHd0YwaDCJTmBLsBpdmcCJCY-2ARcAzsmRBdRmajOvbkiVbZ19ISZiKh-iZ10gFkdhNosOCs3K0UnqsCuSPcOCjn5H3LdhK5bd2A6xgkXWw2rcYXx0rLnWUcecxeOaeZOCMmFcx03lXrKF_-bRw1St0SZ2Uk0576WGcrObuAnJSyhLUv5U-d8zw5r7YZaonhlWKGwpEvYsGayWB9skr0a5ItzlcgebU7j3KavhHFvmcp_6JoW91CaWG535lqihuuaxogRIjlPvvVSncdEE3Qp-2dy3Z__eJDaVDqIYBBxBhL1FlwJtalFh9tGzftl944Esjqz1-3wMTd0lqrd4wYYPBqiTfhQDewd6H9OQ8hhmQLRtPQMOcZg2-mAMiP9ZvseNdL3IaQ5X2NP6-5dMaFmXRCHm98_c5is855LoymQ7L49U3CpwzxHxdAGfCk3DV87mEKg8jih9MIYZwPN8nghd-dq1rhS8OTv-u4BgGcwr1jGjxNT-fYmWkjq0R3jlG1YmeKbhEF3RvwZ04v0I6jrcR-NEjvsUnqe0gX_eqOk&amp;type_route=efficient" xr:uid="{38A25E44-0B88-4E17-86FC-BE06C07EDC2E}"/>
    <hyperlink ref="G219" r:id="rId217" display="https://qualp.com.br?data=c2gTpVrj4q5IUr7yzHQrE4MZ1YDmfU6jrZ0TSGmph-zM4zIUbwi_mdAOPdH7lLDFVqpYieSkqAzxvtLvYXrnVpM0vANw1rv4z3CeEQ5crdAtN2fAegCLr1f1UiHYw-NYNkrNs-fFmmPY3gcP-RG8eUeqi156hINqjfqG11KGPcDhkkcRJppQizcX3S-hvlHBigSjxZ3pHUz2kufTDB9-y1JzMYW1-FFVXl5oZ-yCdECrvxanGkQ7c09RdbyuWUpcsruSaQJZmgI0keXzzbaCq9nmN88XloOnxqw9asT3yHtgKQiHJQYGLV1O4vmY56gus2ckp0-rsMW2Cb62VOPyjTPcX1C59mrA6cy657gCFtV4W8aZ_fSTjXdk-XqQfjD1xLAcD3ULLJN3zllD86DlGiy-cWylVHgzxFBGpHDHDNlouwWyVGXgs3Sr-H8iWbR_CDh6cSGhofCrm6F7GTObsWdEDzyK00FpCWvuWZ5xi3LJWsfqIPB0bR_kCUcYY--16gpg3pe6w_TAA1J8qqv78KqHO0muW33M96kMATD_936nJuQ&amp;type_route=efficient" xr:uid="{E5C8C59A-77BB-436C-8E58-9BADFC7BEFB6}"/>
    <hyperlink ref="G220" r:id="rId218" display="https://qualp.com.br?data=SoPsp8zBJI2TSyy58wX6uyD7dB29t6-rg14B7eamc06uJChqwWqqAwSWkqD5xlI7_W8Um4Sy5zy_QbwovqKKtkoEbpkA8cSQflUzW7Jjh4ASbXW10Wsh6aJJoHx6fXnR8GRqDpdCHATUGlg1k_sVgdq0wnFnkK9rq61dvfmB_0OlCbZ3wkXQYWnIsfVvLwcbeUt6-EqUjh3yHDkpBEVg8ZYzG41-T4iyvfYGRdywHRAqM40kYVdoguWcYF8uvk971_gJ3hizpsPfSn7qeQSeehcoj9kFqPJs3__NwvaBp4fviAXcdtFXfw0kw1JIHv9uWV1TXIR_EyYkza5xoEKEcG5G_qwdw9QHc5kePC0XQNhwaZ42nAZ73DIOLeXXmZ1qiWabzjEaFKtmJ5iIDAqVb2D5LY_MmhLy0Fp8iCpGAaUKn_5rao28bu3_71XJT2CtoM46v00JEWoRCueoB-txHcd8lgycqIOSxkV4spyCIlQsrFddPJogmbAqQj3kz7nxw7EIAtgHHffHAjxIyPOl-kY_s8D4bx3gj54w6isE-fN3r2Yb&amp;type_route=efficient" xr:uid="{6884D9FD-712F-4282-B19B-611C8FCEFB21}"/>
    <hyperlink ref="G221" r:id="rId219" display="https://qualp.com.br?data=C16PWK1uO7-Eqs3ZlbmwxN8GolsxkgRjK8P0Zxr66QuKmsPMusFXHlhTm0io-7cweU9fs8P5fDk19e3-Pg8ZPELiBA1E-iap7L3PuVjlpc7xBTU9NSoIo5Tl9-E8E7K2pAJFFVY2xp3dM2Yb__4wysHG6corAOtPZqZDBtudcHs3-gev6IZRj6H6_fJHR6hP43QKezpyjtxd7lGz8piltV0yF0er6rYh4djAClSYXeL3cBawFYODJDRfhoDqrUON7hetKdEID4S8YBTa5dhfnwTFRtxUdcPN_0VdKWRMovj-rDtE9ur18fMdtsmCTv3cBCgpEgqbZ-6yrz4Qrd0eVCGIAkC7iGJfzUVRCV-4kIlSy2zkA-kNESuri_mGF5zYifacb1ix1reVFHLIHDJ3qFxNdbi4sAwJVNAMu3e-zlQBhEgQBCGIc9fFd-ds2vfWZh2mzQm0mzrHYcln1faAgTRbehtqPl5KW6Ab0D3G0H4eC69eIgCWLMa2Z4qX458B0JEy9z810SDB0-lPm1PjGa8ZRyqXjsUIN3hEFIT46g&amp;type_route=efficient" xr:uid="{18C00EB0-B3E8-4C5F-98E8-127A54D83323}"/>
    <hyperlink ref="G222" r:id="rId220" display="https://qualp.com.br?data=qiBIr3m0K6bjSIrV5U_afLM3fQ6Euxx0MNeUl2GbIjgRQH8AOB9Z61wRlBksjyQBhGIxBaA9b_sx4uvtSaQTajNG68hxTpgQPvGhxJykforALgFgJ0OvpOkSYEYU3X4irEskpN_f2txd4tldr_oY4_aHiZ2JJkkH5hlNR1cHw43GXMuGQ9Z7uAUVIk0TDyPhRXk9HDZiEA6AxsWdZP4GRpoZFr5BqP3q9HtbUQqPPMDCCUFC1R6N-ZOKbT6XbELRt4G4gjKl9ekwQgm98cko1rUaV5O3S3XrtICKBC0xMJMjalfEU-gAlcwZ90RMzXL9PaEykbc5KI8ddB0mHZ_R86Vf8s3kE07f-xK2BsfLwaQe9lp-mPv4ohMbTAGb-y7Y92lH1sMOyntiB2NQwagPRORd4sAW7VgakymK0cfyYFyrRlOkikr3pBAyuuYLPlUZqrOH-Qfn0bGsNlVSmZyhe_uAFiCOZBhKu-Hfl8gH0CSauaVwBoYF8z9OMrbfVZd8aPbT8AyE2XAS0HaNBm6mW79PMacEiABo2_rlUeYUZwuRuSb9jbU&amp;type_route=efficient" xr:uid="{01E9701F-F4C8-499C-B9E6-966C430EB71B}"/>
    <hyperlink ref="G223" r:id="rId221" display="https://qualp.com.br?data=gtGfe4jMnXv_g0IfpidwJKRYc4joutxLqvC7-yDN9IjC_ny87bhbR1ecZqA4jK93u987FlUMebgh7qKg_juOB3HO05LdVG3EU0HVE65AtKtlvvQhPb8pOvmEHW6bDhzYVIgIz_PY2sTj0IO0tYZgIqJzMn5-RVFa_bGrw1fxNT8MEeMJB9CeNRncj9xvce4SNhjLl3THIfw4fI0bfEKvHINy9q8rU0quS8IgyvNoToIWQuLAMGxkIftRTph6c1jrrvY8X_jb9VbBFqZoqqrviQJcf_Td2ChMyIN95EvUVLMQAEj5FizoLVKP8xRkZCE6PG8fIZ9hXw5Jye7bQN-3bRX6KnTETpQBKjZWtmtyyBOilZj8Z3P2QAWjYBI4fnMVdtgOjpYPBv7uJrO5xaYvXu1A6ByccmXJIsAMiZV-8u8bY7SGHq54SsWDfXpPjui-BUvmtcqZ2vdfe72vRA0T7qe08mNOD8KdLrgRYlh3PwKvrIzeUOcI-6M-5CIlpziCwZMfFJ1mkrcoRfyczcG2Duv2LxrjDgvbGdos1x_AGxSon_yicAB7BlEfbkl3fi4&amp;type_route=efficient" xr:uid="{9C76D753-563C-446E-8425-B20B22D8FB8B}"/>
    <hyperlink ref="G224" r:id="rId222" display="https://qualp.com.br?data=hFh41siauM64yRNg0aJjuJ8Vq_wVLqQeu3497hj5V4PAky-UiA-De8Rw3_QH73Dvk--6d5ZTmfrgmuYzr1xoeD3wPiG0QH-GlZuiy0nigEJNSSUUZU34F5wW70gGtIY_oPsFQ9LuUgiCE4GlEdlehbO_MXb-KmCC-pTxQZz19YmL5hX6roxQH0MsRDMDNL42X7nve90fvuZqRMRcZXhRvcflme9re7KJ0l9W0df-mmVxDdxK0feIlfIX8UnkRqBiLSD_Oid3Dg7k4KZI7Yv79geFOiF2QyrdtxyN-6Tv18Kv5pyd2ZWA2UzYCiNw-Yr9imXSYsGI-S19B6kBvabOjc5FXMifIJEC3KgoB4icDbUvyldBFdjPftAP3holS7XDfk2VbD02Ea-WKLROBwUUfRlqyd9ga6SydlV3CenE-CVgaQXkewH-zGSKdPDW_QyIumQxxqrD0cUTsaE0-9Bt7MuTuVY36EQkqhOHPsvhNuXXp4s4axH0uwqMootkskuiUFT1qUnxkkXgdbmijUiBmeY_f7gt4ENP3Gx6Ge2MsH2A1A90AUWu_r-EXGQyHNWg&amp;type_route=efficient" xr:uid="{C62595C4-54D4-4113-A8FC-DB56EDFB6962}"/>
    <hyperlink ref="G225" r:id="rId223" display="https://qualp.com.br?data=pc41kGiXkgxhJdcPBM-rRQ8YMmqXlrcivbyf3zWBvo3ABXYffpKJPqFbkFXnN2Dr_uoUYCSjuGvjjEJ6Id53PB4e7ILFnZBxztYCw_s69xpU6KXSDLRAV-9YWw2MJPjSiIjFiwnGAOGIovBhWQa23t4ZEqbweHdCyfnXOba3wr-UiMtYePNWdMj-W_-QsNwV7SBsheCDyv0TyBGM2JIP_X32snjs8DuXUt0lMrBlZGesS_pEU5c8-H_QFU90AbrPz3MuK40oFNB_lWcHpRFOvgFpx1n-OR2cmo3MIf2-B2c7t-lhFRcScbOJbGIqqhb7sAo8meGx6n6APFoqyrS5is21fOvChq267Qx70vMx167qH8MpdZcM8mIgNdBVbtW3LS1LjZroM0hKmYtbqopkodgERNRPhgzc_OCfBgbcxJIhW-PvvGJnoOkAmVgR0jSHBp7ICRL0A0lJpVW6NgeVAvS-aznI7nZu_KePB07mRIpZ2mYzwjamCe81f2uL7TX2sUNRp9KaPg8XmAsVs1Z9F7Ti4LDjcbDHoawoVQ3JaGWfkQ&amp;type_route=efficient" xr:uid="{CC921679-1365-44E4-84EB-CFA8C94EE2AD}"/>
    <hyperlink ref="G226" r:id="rId224" display="https://qualp.com.br?data=qBnL1YHf5w1KRggXAyjzKVzOWIcvNNcMgbJR_GmiAK0yZJyBZmzymGNEYv_j-N4dBTSuk3G67MszRpGEwbS1Vy9YOhvEogqu1nmyMpzZBOMUZ0OSzrzVfE-lC78m2FfWaH8yP4nvIn3a_4HUqj-wc4aWhFD8X2pVb-FS25dPYcwEXCGdZjxYS3YQ2oaC7To97DRYf89bWhxrOQak4mJ8-oD49jMPQRxhHIzmQZ6HepW0xtwjUqM-MCmxlT_6PdMTSR6kL_IFFgFvCquX7jMCwSC4e8c5CSjfLr9CX-4yuDr8okA_ICher7h29p2_MhgdJ8V8aT2OYKkYNgMQ559yutrJNjBfadfIU0HgDEc3O5_e8OjmtmoXOBZkmmHiGcK0jKMGfGlW4JiOO9Wspxeu1Dpo0e1xDsVqjMfLxapj2usu4zfnuDyAMTdHkMWhB01u-yxMdufd0R6mdzesp2hIJ4fhopyZwcK8nSRHPxOuge7419XfH1w1djrv1dt5PXzPsybNMGaOXBgDptn6MdOctRW0SLTZYv07eLSj9afBZmgUCyS5&amp;type_route=efficient" xr:uid="{C1C8103F-980F-4D7C-A640-D712B6ED18D8}"/>
    <hyperlink ref="G227" r:id="rId225" display="https://qualp.com.br?data=9EkPmIz8R3BfresHdKRTabnxUNipXgZeuKxw2wav9bIN0Qq0HtfPn8n_KGjrAmzroDVO8_Hs6WmhVwCHlNt9CxKHL-Pvg33Qk5pYfIIjTZwQpE5U1-O5CsRs3idHrZpMUPYbmEE-MUkQ7e73kNzjh5T2lcJpNY9_q5aDZKDKpj94PDGqvs0F60nGGu87lGvzeIaF5kPAA2dzX6QzM_omD-R_AFnoKQV55c3Yns1OSrIH0XwJZLBNnUh8_4CpVbNF69tDLG18p7Z1c9q3c960MP5f7LFESHi-BugOpn2ztB8Bv1Buat5SMQnALdljo8P272KB6mfwLg86Yb8Nhm3IhdGH7QupUSMl4F0tAnF6wGjI0R_IpaKmZrpusiRak4OuMGHyEH1QY1MaSNuv-U2-fQ4-gJfSmQRyj_JQ6qynbxmrm-8qdYz2snYwN4ClXU0z9STUZdvU-ftoUWlNmXB1oMTS0lI3V9ZqHTv4B9mIVQFZKULemvBPMENorY1xJ_eCd44n20emm4AARmOAJPI-aQF1SjoqRRIwRsfBW_xlzmr6TU0&amp;type_route=efficient" xr:uid="{979C2CA4-D048-44C4-B1B5-58F78643AE3F}"/>
    <hyperlink ref="G228" r:id="rId226" display="https://qualp.com.br?data=12iRuvIWg14wJjShloDxB9IdZ_OMFsoONV_WwwyKEQhI1O2MIEfYEDPkdspGSnXXEhqysq_t7UgFFuNKWMLBLmdDQpT2nafUXP9eRntYxgeyho-ZpbYVN2DgFGfyUb54m_XmuaY3c238lBW1co1x8OfNnuMgVWBcHVbEKNxTXv6AMzfTuLmgTxfyzAWhfZQmOcDNIWWG-H1518R8wr3zT2fmOxYiATFw-alJVIZ-QcWYzdn5SXadG4yZtAnj3i-0_YnX6gh8hBqF8Xhqydc25Bym8DCzz61dYe1CwBinQDxrxmTjgqzjmjMcJmLZ4_CeKT_ORadjsvqT4l-Dtp5d_fPObF2Pj9-MTWFSj8P4zuAbmv35peUHODF1DRx4rp-_AC-roB1HqBSDu0JZF5n0m5HlWuKWQ_AGqWmJkEaUHZnZzrZjrXGJI4GPeTUbGK2NGmsrO65TY7yUTrMP8Dc45z27GAMOaRlpLDbDhdHVpUonY-5AsmorNPIU1jTBUwOOzXEIuyJ6canwMuNRPmI3rliF6dSInn5NYcTxrgBzpcCRaCSfdMqV-g&amp;type_route=efficient" xr:uid="{B9A7B5C6-DE4D-4F9B-A3AF-3B001DF7F71F}"/>
    <hyperlink ref="G230" r:id="rId227" display="https://qualp.com.br?data=CSFXAlVrEhm2GQp-TmhIDQoTZex_2_fyA0S7cAh2UOj4XpqCpsOtbfnECwhvSqY3aq4nyFVVexe3AjWh9Oa9HjeMexdMQ9pXLKPOLZ1Przxs9nWhBKUKgKV_kELVyWnzxEBwZqOUcing5MnLqZYrNsJizanLOWIw0CSWmLdNMq1rbHaCdvd1wxA5vV179vHf5NWajPlcjk5o8gVI-C9rveYuJOh8HXWLr4YjqNGlUn8OzwBaBOD5sVfGQydJ8HjShYbnHl0YPs7X7GasLaajZGpBNYkeSJimWNNU532e1TSHjdER1vlRi7XDgIJa6PyyXCzyZPK7dch8sczVPjuVoolnBnNP0WvFecI1Q4G6CDe0Mvd7F3NMfjcJ0KDI0AZR20vCDJIIlfMgNA7MSqM3LWqz-WjQuegYc42EiBnlVZ7hNa5_OfKvF64StOwr3rQBabwvpLlDiUzrnRVqNGgidYQE81YJYx1BymE8RNbVth-EYh6rhe8Bmrmz_Rdjaihz0k3WlfFBpBmxy52VBo_9d09jZzC_RJEeKTdpp8lrLwML7uffWhzL&amp;type_route=efficient" xr:uid="{862039B9-A29C-4EBF-91F2-D5FCB91C0523}"/>
    <hyperlink ref="G231" r:id="rId228" display="https://qualp.com.br?data=Us_rcftsfQIP7P0M3QC_vDo_UCp-1GkHNr9G2ehWmhqbKseKOzDw8I1qY_7ZE1vk77luREP-K5u3MUsh3jb18i5c6emQ2rL0TrVvDSQVkDnEIv0ySlczCiITF2xiDbwsqxZlmx9b9KIR4oro5touuEGkmu8_CVJ5C29j99s5GcxuB74l5iJxxZ0yFD8APhV1h25LjNAjK0siWcKTNnofrxHf_Zel622wijR1WS7EiKarhiis4syKrEj5jt8sVzPzVjVNeh7Ljv-AMeqKrZ3CMKbHZmWFp1f4691VzByjCXKxuH0BQ_dJJ5AIzAk6saYeOm5qvhmVgPz8CxXHOYBa0XKk3lmSXajjiNybS5UBWK0GKRitAkOanTegOhZ9FpZ8Of6-RXFgso-UG8JG_ikUdIw2XeNOm8aNH_IHtbeaCN1wZreuZKZZS0kj0NEHpuHqS7iC4rdGzkz7spOQTwYWPDxhQygHwZfnRUgGOJprRYP5KGeu4WfruSpYnjjEGXm2hp779sEe3SR0BYy4KVYrggvUCJ0qI3Rn0mIe3YU8FvhnHQ&amp;type_route=efficient" xr:uid="{66068154-4B05-4A5A-AA28-B9A90EB82D63}"/>
    <hyperlink ref="G232" r:id="rId229" display="https://qualp.com.br?data=Wgx6yDaIXm-gdQvZkIj02Qau3bsXWJho0wyeoRDjOiwFaTHPf0aG8W1NNi45AdPA9RMiMzaOoIHmh53NQF-gq_0Wmr8_yw5M9i_g-SOvd0kTG_YIg7Wsn6AnWfM7Dl_bu_8F8e0RszWKMCpAfOi2Yec99YibWlz1289Bcj0xUTS1ypledCBnXXocSJnNXemxe_vpGxtiFhdThSZk0cEH85Gd_XbPEx_QnWwQTGUSFyOv2FIjVTvUNNYxtXk4QQJ-ARhbhm9X34VSqLBIFtJJiuj0y17v6HveozN67ailqbasBJN9aDP9t-VgoAiEZcKUc3HNB5a6hOqms7da53brpF4P86qwp05StLg1pGJWBB1lbuOEB4g68YFo7Ra8gGwXs3uU1fzMnwXSzfgfr3vXqdr4Bd4G0BlPnRJ3FH31Kr7XxewOzWTCpHyq3o4CY3MrYYziFJ78mBiueSisgXhLrY24jnBXdRlYDSb680uDsEveHlHGXfPJMybSmB-9sRHGsu8MnnzinbPBrmKiZW6n1hBVRc_UZLDUU-LbnT6lQFQ&amp;type_route=efficient" xr:uid="{5F6D95BD-EB25-49FF-9F93-2FBEC79A1E4F}"/>
    <hyperlink ref="G233" r:id="rId230" display="https://qualp.com.br?data=1wzM2FL-oPPRIgnSlBVgNsBIa_2iOc_73Sn3pP02bCxlikwAl_XfbfGYFGMrzVJp8JwrSSZzVWrTeHcFTbNzPujjPbBs1kjusdoiD0mqSFruwac-nfTe08zChNZdCq3GQbQh4P2OEqaIQB3xAvHLfAxQsxt4G9Cw9leRg33O1-f-wpBeu8DrDpg53Jt0tMpsHmTpTRR_W_aIp3NeDrJVTj5Faad5GXe1TevGcyRIsI7EaM8DJAy5Fz1xK6fN0wkNPwEzPouEvZMWxL44Rd9I3z-yWGqttcy0J1Co8MepYTHao70MhKR2h3F-zgIC6QYow3iJtFLSi8AQXtcIbL25RIjF32MPWcJBXt6-6DgCLp0KguYgaag2_IJbiKuTj4W5UCLBOYaiLpOi1ro58T0UohSoR1e1OLMy95FQQkCi2oeSFuJSl5UIXHuy0m1_1T80NIUvqQ421EPdBs2UrCcq-S084ieHHQFpoqhj3vXALWafqLJxSTzJnjcrLRmI_rjGTMyDKGu3WusVvsCV4XiMip8ktJ44rUIZ4pjYEsEBfwD9u0dwjnU9aw&amp;type_route=efficient" xr:uid="{D16F118B-32BA-4DBE-A6D6-E238094AA478}"/>
    <hyperlink ref="G234" r:id="rId231" display="https://qualp.com.br?data=O4ewBu3T__tz5uw1Q4nF1CNvm_iW9gqOppx5F1vVVjGfdgv-pB1ZEZdk1tGADEcD2Sh5xKZqSftB_xzDpqx5xIWFsLG9nGNk3wObHtcdhI_n_vWTXJFhJ6qZPU1UqhxR8wD1ONJ2wQD575rd73SU5NrQdGZXo2rCBe_ksdJZip4254hJkrjpsMLc8V-36X_0qSYChqgpgHISfSqEJ-iT983xoRh4k1cR7_gOtzn0UkXmiRyng-R9u7EJmeWfK6Jf2d54RXgnImzQ8S773tiaUl4qNam8iOA61RePG7jIxpOemCvhFusvFAsut96NdjM4zM59vX2eJriU05PF9KKfvoa-JUsx3w3tGk2KG-07-91ayVPwSa3jmEZih9mynlnlcxloC2b6YHXs2clqFnsUNNdBAxmDxzdY8vsIisLm6hvOog_T-0mqXm6uDmU0OioMNtDdPfdSSL4t5Jh6vsdWB7RPA4js5iItcS1AhE0RR5UVGRurCoeiN5PTTWCszLiHRXEltXk33R6npq9BmLTWY_1n8brVeu4SliAf1kgpBFDS&amp;type_route=efficient" xr:uid="{68A14DA0-AB6A-44C7-8924-8B31453F05A3}"/>
    <hyperlink ref="G235" r:id="rId232" display="https://qualp.com.br?data=cekxVRZkII-Bu1Ko3cce8-S9LL3zKFU4NbugJ6xv6-lxo2wPJmKZDH2e9YhkmKb06-bW489ksx5ovuOomY7L5jjw5nmuUGi5WOqEdaL9-omoqygGyFsCLRI6cwGumKFAvEow-if0lBzUcDroVH__EA3CZ2Wj0n_Vsz-oFiD22QnUhXZ5Mrfmm6gTngHQnOV4hZymbYu8Q8vQBuq20lFhWmpAk2Sn_R2XOPWZZXEE6KlHUUR7Ew5bCgZpFdUnjXYEbcaQ72vq1S99H25VyiTPUa4GKQqA_UnX8tCG1Mdo4SLu9LnvcxLIYR0aIaEwCOYgeWPtBoVlJHUtJOa-Rgetjubqnh5bftGjpqE3nTvrV7XpWQ6-04kZ2W2D39SA2QJJAXWNcbTdHdX3hb-BlYS8oAzRaDjV6MBB1nQG9AMNCWPlmSbQrS0c04iDiZFcRRVuF2xIJYzcvuSKrBoiwF3MkYKfB5shFAUgszR4Xi_HJvl4YqPIrgLdduSBT5Nwvx4h0TbSSE6WXbLEAC1OpkwOzsGyMl8IrIx9JMQM0Vxmt9RNkQ&amp;type_route=efficient" xr:uid="{639BC090-CDD9-449E-8E2A-254BCC700CBA}"/>
    <hyperlink ref="G236" r:id="rId233" display="https://qualp.com.br?data=pim2qvVvt4jbnddpo4QHCEQpFIbbOFUtChPsWKlzqqGHestm5xjj7UuKHzclic1b9UAtp2OIhEwlIfOyQG2lzT6woS4ZFhZbntsoMvTQ6WsAaEDyuWlJe7rugJT-1NMKpqb3hGr8j8igjTzlJ3I6AS-FPH9qQ9eG-ZtdgpcJEX4ssMueYpP96iWq6Zkrt5rvqIncAlILrRAvVTxXadaD9h8oNybnacFJWNXofoIqSt_fpcfvEG85_WedrR5ln_mFWWZNMjUedhegSBHYFaQQGLX28BT1RCNXXkkLo7b5F8rNQAu-siFSAHe3_cIj-KBQceLb0xFIMCZaJAz0cU-HYzGThFkxoC9plwUMsvd0Evfx7GK0-xJgQIjheRY1iFMYv66la81aneos4iAvyavH0gJfeBrE9RkAXdct4rD5ieXV7onwnbof2cCbkqd46CZuKf0ieS5wvHrE_r6fwXdeGTLnkmM6F1ZkqVDskBjD5BaPZF4c0SBvdxwUyPW2GU31d-3tlJlJLg-BRcY-ZLUR8mA8_a-5kHzGkvRvbU9vCrKAe33OUlEhmg&amp;type_route=efficient" xr:uid="{540C0764-63E5-48D5-917C-D7C80ADE86E3}"/>
    <hyperlink ref="G237" r:id="rId234" display="https://qualp.com.br?data=IoPIV1526srjVNcqRc3cg9ZK9LYN-Jlt--O-Q1shlqTkHOB7PJGoAxN7LS0E5Htluwnek_e38eVE4Tms-peOaUot9C8Nek3eTsTp-eRGeT1w7k-ckSmGab7ujwThrWrsA1DhQ_Dsn_an3qT9exhqGLhvM8-_jVlRefGU71Xiuiq7gg8aVjr3bwuJfjwyHkGhfkGFn6qEOa770OL5XNgdvFwMh4-JqQil8tYVYVrRP8EoLx8Rgp39gtxIsrs9et9tfj6Y9yhBxwZXOcwoqpswM8cm9ZcX7T-kDI5i8j68xq15YEozq4auPmNkw_7gvAd2J4IO3qwi4_B2LHG8UpdfTtDNZcEV4VT-k-wzd1iHweCpAdm5PpMwBF7qiQytw1fUBAQhyMrpjgyyBTSCh1ivHX2-VRHoG4SkJS3XpNRgtnTISfFOTMjpuGqz0p1DXV3ONhAnlCMzpcKkb2q1UBN2yUSJPbc1Op93-M0DE2IJe7nj5bKTlHdYVQmwkzKtRD-9V988rr4-PKiZ7mHNKuc4XL7ByXBxiZsgiKpje4B5O3OgNBg&amp;type_route=efficient" xr:uid="{AA875268-E0D0-43AE-BE5D-2B9BB8074A4C}"/>
    <hyperlink ref="G238" r:id="rId235" display="https://qualp.com.br?data=V1hWE0qQheBAn7qmBa_2bhJI3d3K0z46BZoG_Kzoci_VjZ1-0PGtLNr-CGDSC4LX1XSaR3BVBR8UjcVROXyE_mBcZqQP51RskRIO_sBknrgAbkAnd4dJscE8_If9Q6b2LVgRrrzoM1kw29wS5pMqIR5E2IAYZXPXHJKU3cFO2pfDAltw43hcB7nmW47zHERnCmNoQ3P8s55AI7N494jn7ZQSebNBXEMPksrFRwS1JxWkKMq6Bb7ucAFh_nPBTBFpy8aui_rG5OjNPRBXne2VD2OrSqE4uCumwZf9cb7OLhCwbDSBrTm-_VD3XmZdff_tmxn8GgQXi0QgDeGJ4uor8sG1TP1ccWVCigC2B0v0rDnjwNLiB1UsLyVyyRI11yMQ8CnYb6w2_H503oQC9yr7OEjha_XNwRiNCMjUmWMpPRrv58SoMniRCEOwdm-GVo3xGFaFX7hPn83Juq2EHRXJrvMirENDov5Zgspo9oVtSC6JE0f6s3KkEWMbG4Lzxl4YSVAAg7ShlsMVftcK4_p-8JY59qb-pGRjm-KdVJXDtpcS_ec&amp;type_route=efficient" xr:uid="{991555E1-3E3C-499A-B198-EC31821985A1}"/>
    <hyperlink ref="G239" r:id="rId236" display="https://qualp.com.br?data=xlrNSs2RMZSRZPVSaehHczpwsTOWEDqWHGm8vWMYmE6Vm_wFFPhqCe9PKqxYUnmpMz3BwCaWraF2JgrJgFkRmCmZQXzP4JJ8tbpqAPdQR0eed3fUbVsKNV3eHOnmY9VrDE3k_koHgWWa6yJ0I728aqeFXJwde1NnuU25LnwzwezPL3Unou5UnerOjYf-s2g5JvAm_wU9IkIstJCM6QZNXbyG9uvlgtSy52n_WppEVhy93x9qRA8hAlNkoPrB5vufFbkVEIDwBRxSm2ZTYc0ibYw4cKLV3ShAhnrJPjjOLdcl2Eq2fwt3RTK9SW5zcDXplmrizfqIU1c6B-Xwk9ebneZQXnND56IefWCMDw88qNvgUlwm82mll4WMMTDprbMNQzmKVpAVtd7X9WVTI5TX0vUn-WuYHMKIVG8SLhU_WBvzPNLr4hzEFKfQK9fvlBTqGPZHWfpxjN4TanbjGY4KbS06p7a6eq-UgwdNZsRn_y8Kt9IOARnOqYo2ipXVZ_okznCUbJhHB7C30kj1oZmx9OunlT54PTvy_YPQuc_vKIx3N633OLbApg&amp;type_route=efficient" xr:uid="{C0EB404B-3F93-4AA7-8B4D-BBE8AAEE03C3}"/>
    <hyperlink ref="G240" r:id="rId237" display="https://qualp.com.br?data=YKqVMtgAZkd_Nlo-z-ecuni9mJuYoIZxxEy0Ba7b7upGiQryfYk1aUjHWoG3T8mMTacr5e0WLrsMy5pe1obGm6zIuM5E0qfWbUnKG9KCffDu_P6WLPaHmqBWH0Hoj3ZxKMOXxee-VxIojQrjtVo-VJH5rvAuKfaVMo4rz-Ta73uuYcSZqYO4QYqGGBoVvuB69H19e3ualjyrrvx0qCY8TF82fLiAXx_TdvH9G6E_aaVvUgNjpGDIbECIkNE4KrI4CMh6CH0_wwDoDB15JOU5E9vZW70i9UxYDlNKlq84T6Sapt3HJixsHciSHHWKRp5XzZCRRCnLaCRnmT6qZXGP-bwV6_Fjpao4IobDMO783qHc_egQhhPaJdU4_8tKOAQETtLqdFNo6J85XMd6iH2tvawLx8PbIUa4IjCuq3AzRtOZZJxCd6QB8-T8ZwLLXlOf6zfaomvyG0Vw3qIjidQHHyimFg_UtUF_baUFZH9OM4uoUjAITr3YBxm73aIWsz8r54x9Ryz6f7kOqS16onU1EVyngjBGvD2EU7U637hCBtlNwDm3QMZ4Kg&amp;type_route=efficient" xr:uid="{3E9B91CB-CA8B-4F78-B975-AC8DFCAC85CB}"/>
    <hyperlink ref="G241" r:id="rId238" display="https://qualp.com.br?data=fz-g593Lh3R6oc9my0wmMaP3Q1fBfo8FyHd19RrZ9BfvnfZsB243tqoSK22-BDaTCpoXM4L1DMLoqFImctKKh2IAq7otgk3IDwlTfuPq4ep5Nk1ToYlpNyjuLQMKMTxMvZNNci65lqsX3517YfT9HoswvDi3Zn1aQGCXEahf8kdh_8ZinLlw87g1A0GiKBmVvFrUvaO8Unvx7o9qgULnOIG8rN42EoGFTFdNIGZ1yMzFSwRrDAq6bIcVddIwl7ploOcpuuH0O2Cl37KHxtCsFKMw-9C755jFrCKxoDpN5an4dw9PzK76xCQyYixgNKv4-AVEZ4AK3V10jeIfCb-DVlyKRUbe9nfQo1u7JcZWwuE1dT13vjAT-tRXW0HY_u2ZAcs4adVOcyQHC5z4SyXRKXkpdSgL-KvRdHaSMuJwKVPACuvoqGZAgl5MXYjiJleUMIcqvZ4VSbItkxI_XKFltx3CnDBewS-eRzDJsLgjpbrUQn-UhoHxSXO5aSZaGSF80Sw70QQGgr_NNYdStREDiw_yRc-PaW4_fivZ1RYcAtE9&amp;type_route=efficient" xr:uid="{E9DA2924-38F0-4A3D-9A41-BCAAB43B332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BCE4-6A85-45BA-BC07-CA55E657A280}">
  <dimension ref="A1:J30"/>
  <sheetViews>
    <sheetView showGridLines="0" zoomScale="120" zoomScaleNormal="120" workbookViewId="0">
      <selection activeCell="C5" sqref="C5"/>
    </sheetView>
  </sheetViews>
  <sheetFormatPr defaultRowHeight="14.4" x14ac:dyDescent="0.3"/>
  <cols>
    <col min="1" max="1" width="12.6640625" bestFit="1" customWidth="1"/>
    <col min="2" max="2" width="21.6640625" style="15" customWidth="1"/>
    <col min="3" max="3" width="28.44140625" style="15" customWidth="1"/>
    <col min="4" max="4" width="14.44140625" customWidth="1"/>
    <col min="5" max="5" width="14" bestFit="1" customWidth="1"/>
    <col min="6" max="6" width="16.21875" bestFit="1" customWidth="1"/>
    <col min="7" max="7" width="17.33203125" bestFit="1" customWidth="1"/>
    <col min="8" max="8" width="16.33203125" customWidth="1"/>
    <col min="9" max="9" width="16.6640625" customWidth="1"/>
    <col min="10" max="10" width="28" style="15" customWidth="1"/>
  </cols>
  <sheetData>
    <row r="1" spans="1:9" x14ac:dyDescent="0.3">
      <c r="A1" s="66" t="s">
        <v>21</v>
      </c>
      <c r="B1" s="67" t="s">
        <v>1711</v>
      </c>
      <c r="C1" s="67" t="s">
        <v>1712</v>
      </c>
      <c r="D1" s="66" t="s">
        <v>1713</v>
      </c>
    </row>
    <row r="2" spans="1:9" ht="14.4" customHeight="1" x14ac:dyDescent="0.3">
      <c r="A2" s="64">
        <v>46113</v>
      </c>
      <c r="B2" s="62">
        <f ca="1">SUMIF(Tabela2[[DATA]:[VALOR TOTAL]],'Resumo Meta'!A2,Tabela2[VALOR TOTAL])</f>
        <v>87638.19</v>
      </c>
      <c r="C2" s="62">
        <v>200000</v>
      </c>
      <c r="D2" s="65">
        <f ca="1">B2/C2</f>
        <v>0.43819095000000002</v>
      </c>
      <c r="E2" s="16"/>
      <c r="F2" s="62" t="s">
        <v>1714</v>
      </c>
      <c r="G2" s="62" t="s">
        <v>1712</v>
      </c>
      <c r="H2" s="62" t="s">
        <v>1803</v>
      </c>
    </row>
    <row r="3" spans="1:9" x14ac:dyDescent="0.3">
      <c r="A3" s="64">
        <v>46114</v>
      </c>
      <c r="B3" s="62">
        <f ca="1">SUMIF(Tabela2[[DATA]:[VALOR TOTAL]],'Resumo Meta'!A3,Tabela2[VALOR TOTAL])</f>
        <v>189682.88</v>
      </c>
      <c r="C3" s="62">
        <v>200000</v>
      </c>
      <c r="D3" s="65">
        <f t="shared" ref="D3:D4" ca="1" si="0">B3/C3</f>
        <v>0.94841439999999999</v>
      </c>
      <c r="F3" s="63">
        <f ca="1">SUM(B2:B29)</f>
        <v>1592439.99</v>
      </c>
      <c r="G3" s="63">
        <f>SUM(C2:C29)</f>
        <v>5600000</v>
      </c>
      <c r="H3" s="65">
        <f ca="1">F3/G3</f>
        <v>0.28436428392857144</v>
      </c>
      <c r="I3" s="15"/>
    </row>
    <row r="4" spans="1:9" x14ac:dyDescent="0.3">
      <c r="A4" s="64">
        <v>46115</v>
      </c>
      <c r="B4" s="62">
        <f ca="1">SUMIF(Tabela2[[DATA]:[VALOR TOTAL]],'Resumo Meta'!A4,Tabela2[VALOR TOTAL])</f>
        <v>45242.05</v>
      </c>
      <c r="C4" s="62">
        <v>200000</v>
      </c>
      <c r="D4" s="65">
        <f t="shared" ca="1" si="0"/>
        <v>0.22621025</v>
      </c>
      <c r="F4" s="122"/>
      <c r="G4" s="123"/>
      <c r="H4" s="124"/>
      <c r="I4" s="15"/>
    </row>
    <row r="5" spans="1:9" x14ac:dyDescent="0.3">
      <c r="A5" s="64">
        <v>46116</v>
      </c>
      <c r="B5" s="62">
        <v>192807.22</v>
      </c>
      <c r="C5" s="62">
        <v>200000</v>
      </c>
      <c r="D5" s="65">
        <f t="shared" ref="D5:D19" si="1">B5/C5</f>
        <v>0.96403609999999995</v>
      </c>
      <c r="F5" s="17"/>
      <c r="I5" s="15"/>
    </row>
    <row r="6" spans="1:9" x14ac:dyDescent="0.3">
      <c r="A6" s="64">
        <v>46118</v>
      </c>
      <c r="B6" s="62">
        <f ca="1">SUMIF(Tabela2[[DATA]:[VALOR TOTAL]],'Resumo Meta'!A6,Tabela2[VALOR TOTAL])</f>
        <v>118305.36999999998</v>
      </c>
      <c r="C6" s="62">
        <v>200000</v>
      </c>
      <c r="D6" s="65">
        <f t="shared" ca="1" si="1"/>
        <v>0.59152684999999994</v>
      </c>
      <c r="F6" s="17"/>
      <c r="I6" s="15"/>
    </row>
    <row r="7" spans="1:9" x14ac:dyDescent="0.3">
      <c r="A7" s="64">
        <v>46119</v>
      </c>
      <c r="B7" s="62">
        <f ca="1">SUMIF(Tabela2[[DATA]:[VALOR TOTAL]],'Resumo Meta'!A7,Tabela2[VALOR TOTAL])</f>
        <v>174499.26</v>
      </c>
      <c r="C7" s="62">
        <v>200000</v>
      </c>
      <c r="D7" s="65">
        <f t="shared" ca="1" si="1"/>
        <v>0.8724963</v>
      </c>
      <c r="I7" s="15"/>
    </row>
    <row r="8" spans="1:9" x14ac:dyDescent="0.3">
      <c r="A8" s="64">
        <v>46120</v>
      </c>
      <c r="B8" s="62">
        <f ca="1">SUMIF(Tabela2[[DATA]:[VALOR TOTAL]],'Resumo Meta'!A8,Tabela2[VALOR TOTAL])</f>
        <v>200976.49</v>
      </c>
      <c r="C8" s="62">
        <v>200000</v>
      </c>
      <c r="D8" s="65">
        <f t="shared" ca="1" si="1"/>
        <v>1.00488245</v>
      </c>
      <c r="I8" s="15"/>
    </row>
    <row r="9" spans="1:9" x14ac:dyDescent="0.3">
      <c r="A9" s="64">
        <v>46121</v>
      </c>
      <c r="B9" s="62">
        <f ca="1">SUMIF(Tabela2[[DATA]:[VALOR TOTAL]],'Resumo Meta'!A9,Tabela2[VALOR TOTAL])</f>
        <v>150846.46000000002</v>
      </c>
      <c r="C9" s="62">
        <v>200000</v>
      </c>
      <c r="D9" s="65">
        <f t="shared" ca="1" si="1"/>
        <v>0.75423230000000008</v>
      </c>
      <c r="I9" s="15"/>
    </row>
    <row r="10" spans="1:9" x14ac:dyDescent="0.3">
      <c r="A10" s="64">
        <v>46122</v>
      </c>
      <c r="B10" s="62">
        <f ca="1">SUMIF(Tabela2[[DATA]:[VALOR TOTAL]],'Resumo Meta'!A10,Tabela2[VALOR TOTAL])</f>
        <v>112977.48999999999</v>
      </c>
      <c r="C10" s="62">
        <v>200000</v>
      </c>
      <c r="D10" s="65">
        <f t="shared" ca="1" si="1"/>
        <v>0.56488744999999996</v>
      </c>
      <c r="I10" s="15"/>
    </row>
    <row r="11" spans="1:9" x14ac:dyDescent="0.3">
      <c r="A11" s="64">
        <v>46123</v>
      </c>
      <c r="B11" s="62">
        <v>319464.58</v>
      </c>
      <c r="C11" s="62">
        <v>200000</v>
      </c>
      <c r="D11" s="65">
        <f t="shared" si="1"/>
        <v>1.5973229</v>
      </c>
      <c r="I11" s="15"/>
    </row>
    <row r="12" spans="1:9" x14ac:dyDescent="0.3">
      <c r="A12" s="64">
        <v>46125</v>
      </c>
      <c r="B12" s="62">
        <f ca="1">SUMIF(Tabela2[[DATA]:[VALOR TOTAL]],'Resumo Meta'!A12,Tabela2[VALOR TOTAL])</f>
        <v>0</v>
      </c>
      <c r="C12" s="62">
        <v>200000</v>
      </c>
      <c r="D12" s="65">
        <f t="shared" ca="1" si="1"/>
        <v>0</v>
      </c>
      <c r="I12" s="15"/>
    </row>
    <row r="13" spans="1:9" x14ac:dyDescent="0.3">
      <c r="A13" s="64">
        <v>46126</v>
      </c>
      <c r="B13" s="62">
        <f ca="1">SUMIF(Tabela2[[DATA]:[VALOR TOTAL]],'Resumo Meta'!A13,Tabela2[VALOR TOTAL])</f>
        <v>0</v>
      </c>
      <c r="C13" s="62">
        <v>200000</v>
      </c>
      <c r="D13" s="65">
        <f t="shared" ca="1" si="1"/>
        <v>0</v>
      </c>
      <c r="I13" s="15"/>
    </row>
    <row r="14" spans="1:9" x14ac:dyDescent="0.3">
      <c r="A14" s="64">
        <v>46127</v>
      </c>
      <c r="B14" s="62">
        <f ca="1">SUMIF(Tabela2[[DATA]:[VALOR TOTAL]],'Resumo Meta'!A14,Tabela2[VALOR TOTAL])</f>
        <v>0</v>
      </c>
      <c r="C14" s="62">
        <v>200000</v>
      </c>
      <c r="D14" s="65">
        <f t="shared" ca="1" si="1"/>
        <v>0</v>
      </c>
      <c r="I14" s="15"/>
    </row>
    <row r="15" spans="1:9" x14ac:dyDescent="0.3">
      <c r="A15" s="64">
        <v>46128</v>
      </c>
      <c r="B15" s="62">
        <f ca="1">SUMIF(Tabela2[[DATA]:[VALOR TOTAL]],'Resumo Meta'!A15,Tabela2[VALOR TOTAL])</f>
        <v>0</v>
      </c>
      <c r="C15" s="62">
        <v>200000</v>
      </c>
      <c r="D15" s="65">
        <f t="shared" ca="1" si="1"/>
        <v>0</v>
      </c>
      <c r="I15" s="15"/>
    </row>
    <row r="16" spans="1:9" x14ac:dyDescent="0.3">
      <c r="A16" s="64">
        <v>46129</v>
      </c>
      <c r="B16" s="62">
        <f ca="1">SUMIF(Tabela2[[DATA]:[VALOR TOTAL]],'Resumo Meta'!A16,Tabela2[VALOR TOTAL])</f>
        <v>0</v>
      </c>
      <c r="C16" s="62">
        <v>200000</v>
      </c>
      <c r="D16" s="65">
        <f t="shared" ca="1" si="1"/>
        <v>0</v>
      </c>
      <c r="I16" s="15"/>
    </row>
    <row r="17" spans="1:9" x14ac:dyDescent="0.3">
      <c r="A17" s="64">
        <v>46130</v>
      </c>
      <c r="B17" s="62">
        <f ca="1">SUMIF(Tabela2[[DATA]:[VALOR TOTAL]],'Resumo Meta'!A17,Tabela2[VALOR TOTAL])</f>
        <v>0</v>
      </c>
      <c r="C17" s="62">
        <v>200000</v>
      </c>
      <c r="D17" s="65">
        <f t="shared" ca="1" si="1"/>
        <v>0</v>
      </c>
      <c r="I17" s="15"/>
    </row>
    <row r="18" spans="1:9" x14ac:dyDescent="0.3">
      <c r="A18" s="64">
        <v>46131</v>
      </c>
      <c r="B18" s="62">
        <f ca="1">SUMIF(Tabela2[[DATA]:[VALOR TOTAL]],'Resumo Meta'!A18,Tabela2[VALOR TOTAL])</f>
        <v>0</v>
      </c>
      <c r="C18" s="62">
        <v>200000</v>
      </c>
      <c r="D18" s="65">
        <f t="shared" ca="1" si="1"/>
        <v>0</v>
      </c>
      <c r="I18" s="15"/>
    </row>
    <row r="19" spans="1:9" x14ac:dyDescent="0.3">
      <c r="A19" s="64">
        <v>46132</v>
      </c>
      <c r="B19" s="62">
        <f ca="1">SUMIF(Tabela2[[DATA]:[VALOR TOTAL]],'Resumo Meta'!A19,Tabela2[VALOR TOTAL])</f>
        <v>0</v>
      </c>
      <c r="C19" s="62">
        <v>200000</v>
      </c>
      <c r="D19" s="65">
        <f t="shared" ca="1" si="1"/>
        <v>0</v>
      </c>
      <c r="I19" s="15"/>
    </row>
    <row r="20" spans="1:9" x14ac:dyDescent="0.3">
      <c r="A20" s="64">
        <v>46133</v>
      </c>
      <c r="B20" s="62">
        <f ca="1">SUMIF(Tabela2[[DATA]:[VALOR TOTAL]],'Resumo Meta'!A20,Tabela2[VALOR TOTAL])</f>
        <v>0</v>
      </c>
      <c r="C20" s="62">
        <v>200000</v>
      </c>
      <c r="D20" s="65">
        <f ca="1">B20/C20</f>
        <v>0</v>
      </c>
      <c r="I20" s="15"/>
    </row>
    <row r="21" spans="1:9" x14ac:dyDescent="0.3">
      <c r="A21" s="64">
        <v>46134</v>
      </c>
      <c r="B21" s="62">
        <f ca="1">SUMIF(Tabela2[[DATA]:[VALOR TOTAL]],'Resumo Meta'!A21,Tabela2[VALOR TOTAL])</f>
        <v>0</v>
      </c>
      <c r="C21" s="62">
        <v>200000</v>
      </c>
      <c r="D21" s="65">
        <f ca="1">B21/C21</f>
        <v>0</v>
      </c>
      <c r="I21" s="15"/>
    </row>
    <row r="22" spans="1:9" x14ac:dyDescent="0.3">
      <c r="A22" s="64">
        <v>46135</v>
      </c>
      <c r="B22" s="62">
        <f ca="1">SUMIF(Tabela2[[DATA]:[VALOR TOTAL]],'Resumo Meta'!A22,Tabela2[VALOR TOTAL])</f>
        <v>0</v>
      </c>
      <c r="C22" s="62">
        <v>200000</v>
      </c>
      <c r="D22" s="65">
        <f t="shared" ref="D22:D29" ca="1" si="2">B22/C22</f>
        <v>0</v>
      </c>
      <c r="I22" s="15"/>
    </row>
    <row r="23" spans="1:9" x14ac:dyDescent="0.3">
      <c r="A23" s="64">
        <v>46136</v>
      </c>
      <c r="B23" s="62">
        <f ca="1">SUMIF(Tabela2[[DATA]:[VALOR TOTAL]],'Resumo Meta'!A23,Tabela2[VALOR TOTAL])</f>
        <v>0</v>
      </c>
      <c r="C23" s="62">
        <v>200000</v>
      </c>
      <c r="D23" s="65">
        <f t="shared" ca="1" si="2"/>
        <v>0</v>
      </c>
      <c r="I23" s="15"/>
    </row>
    <row r="24" spans="1:9" x14ac:dyDescent="0.3">
      <c r="A24" s="64">
        <v>46137</v>
      </c>
      <c r="B24" s="62">
        <f ca="1">SUMIF(Tabela2[[DATA]:[VALOR TOTAL]],'Resumo Meta'!A24,Tabela2[VALOR TOTAL])</f>
        <v>0</v>
      </c>
      <c r="C24" s="62">
        <v>200000</v>
      </c>
      <c r="D24" s="65">
        <f t="shared" ca="1" si="2"/>
        <v>0</v>
      </c>
      <c r="I24" s="15"/>
    </row>
    <row r="25" spans="1:9" x14ac:dyDescent="0.3">
      <c r="A25" s="64">
        <v>46138</v>
      </c>
      <c r="B25" s="62">
        <f ca="1">SUMIF(Tabela2[[DATA]:[VALOR TOTAL]],'Resumo Meta'!A25,Tabela2[VALOR TOTAL])</f>
        <v>0</v>
      </c>
      <c r="C25" s="62">
        <v>200000</v>
      </c>
      <c r="D25" s="65">
        <f t="shared" ca="1" si="2"/>
        <v>0</v>
      </c>
      <c r="I25" s="15"/>
    </row>
    <row r="26" spans="1:9" x14ac:dyDescent="0.3">
      <c r="A26" s="64">
        <v>46139</v>
      </c>
      <c r="B26" s="62">
        <f ca="1">SUMIF(Tabela2[[DATA]:[VALOR TOTAL]],'Resumo Meta'!A26,Tabela2[VALOR TOTAL])</f>
        <v>0</v>
      </c>
      <c r="C26" s="62">
        <v>200000</v>
      </c>
      <c r="D26" s="65">
        <f t="shared" ca="1" si="2"/>
        <v>0</v>
      </c>
      <c r="I26" s="15"/>
    </row>
    <row r="27" spans="1:9" x14ac:dyDescent="0.3">
      <c r="A27" s="64">
        <v>46140</v>
      </c>
      <c r="B27" s="62">
        <f ca="1">SUMIF(Tabela2[[DATA]:[VALOR TOTAL]],'Resumo Meta'!A27,Tabela2[VALOR TOTAL])</f>
        <v>0</v>
      </c>
      <c r="C27" s="62">
        <v>200000</v>
      </c>
      <c r="D27" s="65">
        <f t="shared" ca="1" si="2"/>
        <v>0</v>
      </c>
      <c r="I27" s="15"/>
    </row>
    <row r="28" spans="1:9" x14ac:dyDescent="0.3">
      <c r="A28" s="64">
        <v>46141</v>
      </c>
      <c r="B28" s="62">
        <f ca="1">SUMIF(Tabela2[[DATA]:[VALOR TOTAL]],'Resumo Meta'!A28,Tabela2[VALOR TOTAL])</f>
        <v>0</v>
      </c>
      <c r="C28" s="62">
        <v>200000</v>
      </c>
      <c r="D28" s="65">
        <f t="shared" ca="1" si="2"/>
        <v>0</v>
      </c>
      <c r="I28" s="15"/>
    </row>
    <row r="29" spans="1:9" x14ac:dyDescent="0.3">
      <c r="A29" s="64">
        <v>46142</v>
      </c>
      <c r="B29" s="62">
        <f ca="1">SUMIF(Tabela2[[DATA]:[VALOR TOTAL]],'Resumo Meta'!A29,Tabela2[VALOR TOTAL])</f>
        <v>0</v>
      </c>
      <c r="C29" s="62">
        <v>200000</v>
      </c>
      <c r="D29" s="65">
        <f t="shared" ca="1" si="2"/>
        <v>0</v>
      </c>
      <c r="I29" s="15"/>
    </row>
    <row r="30" spans="1:9" x14ac:dyDescent="0.3">
      <c r="I30" s="15"/>
    </row>
  </sheetData>
  <mergeCells count="1">
    <mergeCell ref="F4:H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f1ac6a-8401-4c85-8a7a-f19690adf5e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4F2AF80BF37F4E9301E8858667EB9E" ma:contentTypeVersion="11" ma:contentTypeDescription="Create a new document." ma:contentTypeScope="" ma:versionID="27cfb3eec743f7312223ac41ad993f1f">
  <xsd:schema xmlns:xsd="http://www.w3.org/2001/XMLSchema" xmlns:xs="http://www.w3.org/2001/XMLSchema" xmlns:p="http://schemas.microsoft.com/office/2006/metadata/properties" xmlns:ns3="f5f1ac6a-8401-4c85-8a7a-f19690adf5e4" targetNamespace="http://schemas.microsoft.com/office/2006/metadata/properties" ma:root="true" ma:fieldsID="5644b408024e4682906b79bc1ef8e7b7" ns3:_="">
    <xsd:import namespace="f5f1ac6a-8401-4c85-8a7a-f19690adf5e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f1ac6a-8401-4c85-8a7a-f19690adf5e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91DE4B-E9F1-4DCE-9B04-AA7574751808}">
  <ds:schemaRefs>
    <ds:schemaRef ds:uri="http://schemas.microsoft.com/office/2006/metadata/properties"/>
    <ds:schemaRef ds:uri="http://schemas.microsoft.com/office/infopath/2007/PartnerControls"/>
    <ds:schemaRef ds:uri="f5f1ac6a-8401-4c85-8a7a-f19690adf5e4"/>
  </ds:schemaRefs>
</ds:datastoreItem>
</file>

<file path=customXml/itemProps2.xml><?xml version="1.0" encoding="utf-8"?>
<ds:datastoreItem xmlns:ds="http://schemas.openxmlformats.org/officeDocument/2006/customXml" ds:itemID="{0E59CB01-F5E5-44D1-8B1B-E858080C0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f1ac6a-8401-4c85-8a7a-f19690adf5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FF1AC3-3BC9-4158-A98D-26306ED949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BWT</vt:lpstr>
      <vt:lpstr>ROTAS REALIZADAS</vt:lpstr>
      <vt:lpstr>Faturamento</vt:lpstr>
      <vt:lpstr>Telemetria Sighra</vt:lpstr>
      <vt:lpstr>Rotas</vt:lpstr>
      <vt:lpstr>Resumo 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Nathan Gabriel Barreto Silveira</cp:lastModifiedBy>
  <cp:revision/>
  <dcterms:created xsi:type="dcterms:W3CDTF">2025-03-24T12:59:21Z</dcterms:created>
  <dcterms:modified xsi:type="dcterms:W3CDTF">2026-04-13T20:43:34Z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0x010100224F2AF80BF37F4E9301E8858667EB9E</vt:lpwstr>
  </property>
</Properties>
</file>